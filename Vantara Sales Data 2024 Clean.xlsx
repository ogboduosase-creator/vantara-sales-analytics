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B4B1E17-A6DD-400A-9796-7A2F9B45F810}" xr6:coauthVersionLast="47" xr6:coauthVersionMax="47" xr10:uidLastSave="{00000000-0000-0000-0000-000000000000}"/>
  <bookViews>
    <workbookView xWindow="-110" yWindow="-110" windowWidth="19420" windowHeight="10300" firstSheet="1" activeTab="5" xr2:uid="{00000000-000D-0000-FFFF-FFFF00000000}"/>
  </bookViews>
  <sheets>
    <sheet name="Sales_Data_2024" sheetId="1" r:id="rId1"/>
    <sheet name="Data_Dictionary" sheetId="2" r:id="rId2"/>
    <sheet name="Pivot Table" sheetId="10" r:id="rId3"/>
    <sheet name="Pivot Chart" sheetId="12" r:id="rId4"/>
    <sheet name="DASHBOARD" sheetId="13" r:id="rId5"/>
    <sheet name="Dashboard 2" sheetId="16" r:id="rId6"/>
    <sheet name="Clean" sheetId="4" r:id="rId7"/>
    <sheet name="Audit Log" sheetId="5" r:id="rId8"/>
  </sheets>
  <definedNames>
    <definedName name="_xlnm._FilterDatabase" localSheetId="6" hidden="1">Clean!$N$1:$N$497</definedName>
    <definedName name="_xlnm._FilterDatabase" localSheetId="0" hidden="1">Sales_Data_2024!$A$1:$K$496</definedName>
    <definedName name="Slicer_Product_Category">#N/A</definedName>
    <definedName name="Slicer_Product_Name">#N/A</definedName>
    <definedName name="Slicer_Region">#N/A</definedName>
    <definedName name="Slicer_Sales_Rep">#N/A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3" l="1"/>
  <c r="J1" i="13"/>
  <c r="N1" i="13"/>
  <c r="F1" i="13"/>
</calcChain>
</file>

<file path=xl/sharedStrings.xml><?xml version="1.0" encoding="utf-8"?>
<sst xmlns="http://schemas.openxmlformats.org/spreadsheetml/2006/main" count="6189" uniqueCount="852">
  <si>
    <t>Transaction_ID</t>
  </si>
  <si>
    <t>Date</t>
  </si>
  <si>
    <t>Region</t>
  </si>
  <si>
    <t>Sales_Rep</t>
  </si>
  <si>
    <t>Product_Category</t>
  </si>
  <si>
    <t>Product_Name</t>
  </si>
  <si>
    <t>Units_Sold</t>
  </si>
  <si>
    <t>Unit_Price_NGN</t>
  </si>
  <si>
    <t>Revenue_NGN</t>
  </si>
  <si>
    <t>Returns</t>
  </si>
  <si>
    <t>Customer_Segment</t>
  </si>
  <si>
    <t>VCG-2024-0086</t>
  </si>
  <si>
    <t>ENUGU</t>
  </si>
  <si>
    <t>Kunle Adeyemi</t>
  </si>
  <si>
    <t>Household</t>
  </si>
  <si>
    <t>Morning Fresh Dishwash 500ml</t>
  </si>
  <si>
    <t>retail</t>
  </si>
  <si>
    <t>VCG-2024-0233</t>
  </si>
  <si>
    <t>Portharcourt</t>
  </si>
  <si>
    <t>Amina Yusuf</t>
  </si>
  <si>
    <t>Personal Care</t>
  </si>
  <si>
    <t>Dove Body Lotion 400ml</t>
  </si>
  <si>
    <t>WHOLESALE</t>
  </si>
  <si>
    <t>VCG-2024-0299</t>
  </si>
  <si>
    <t>September 12, 2024</t>
  </si>
  <si>
    <t>Ibadan</t>
  </si>
  <si>
    <t>Adaobi Nwosu</t>
  </si>
  <si>
    <t>Omo Washing Powder 500g</t>
  </si>
  <si>
    <t>distributor</t>
  </si>
  <si>
    <t>VCG-2024-0268</t>
  </si>
  <si>
    <t>ABUJA</t>
  </si>
  <si>
    <t>FMCG</t>
  </si>
  <si>
    <t>Dangote Sugar 1kg</t>
  </si>
  <si>
    <t>Retail</t>
  </si>
  <si>
    <t>VCG-2024-0212</t>
  </si>
  <si>
    <t>Ngozi Okafor</t>
  </si>
  <si>
    <t>Close-Up Toothpaste 150ml</t>
  </si>
  <si>
    <t>RETAIL</t>
  </si>
  <si>
    <t>VCG-2024-0040</t>
  </si>
  <si>
    <t>September 24, 2024</t>
  </si>
  <si>
    <t>port harcourt</t>
  </si>
  <si>
    <t>Uche Nnamdi</t>
  </si>
  <si>
    <t>wholesale</t>
  </si>
  <si>
    <t>VCG-2024-0396</t>
  </si>
  <si>
    <t>Lagos</t>
  </si>
  <si>
    <t>Milo 200g</t>
  </si>
  <si>
    <t>Distrib.</t>
  </si>
  <si>
    <t>VCG-2024-0105</t>
  </si>
  <si>
    <t>02-14-2024</t>
  </si>
  <si>
    <t>Tunde Adesanya</t>
  </si>
  <si>
    <t>VCG-2024-0472</t>
  </si>
  <si>
    <t>Enugu</t>
  </si>
  <si>
    <t>Pears Baby Soap 125g</t>
  </si>
  <si>
    <t>VCG-2024-0278</t>
  </si>
  <si>
    <t>Fatima Bello</t>
  </si>
  <si>
    <t>Honeywell Flour 1kg</t>
  </si>
  <si>
    <t>VCG-2024-0425</t>
  </si>
  <si>
    <t xml:space="preserve">  Enugu</t>
  </si>
  <si>
    <t>Knorr Seasoning 100pcs</t>
  </si>
  <si>
    <t>VCG-2024-0300</t>
  </si>
  <si>
    <t>Port Harcourt</t>
  </si>
  <si>
    <t>Ariel Detergent 900g</t>
  </si>
  <si>
    <t>Wholesale</t>
  </si>
  <si>
    <t>VCG-2024-0292</t>
  </si>
  <si>
    <t>Lagos.</t>
  </si>
  <si>
    <t>Emeka Eze</t>
  </si>
  <si>
    <t>1200 NGN</t>
  </si>
  <si>
    <t>VCG-2024-0331</t>
  </si>
  <si>
    <t>21/09/2024</t>
  </si>
  <si>
    <t>LAGOS</t>
  </si>
  <si>
    <t>Dettol Antiseptic 500ml</t>
  </si>
  <si>
    <t>VCG-2024-0420</t>
  </si>
  <si>
    <t>Canoe Soap 200g</t>
  </si>
  <si>
    <t>VCG-2024-0014</t>
  </si>
  <si>
    <t>Abuja</t>
  </si>
  <si>
    <t>VCG-2024-0057</t>
  </si>
  <si>
    <t>02-21-2024</t>
  </si>
  <si>
    <t>VCG-2024-0460</t>
  </si>
  <si>
    <t>19/03/2024</t>
  </si>
  <si>
    <t>Chidi Obiora</t>
  </si>
  <si>
    <t>VCG-2024-0153</t>
  </si>
  <si>
    <t>Golden Penny Spaghetti 500g</t>
  </si>
  <si>
    <t>VCG-2024-0328</t>
  </si>
  <si>
    <t>enugu</t>
  </si>
  <si>
    <t>VCG-2024-0436</t>
  </si>
  <si>
    <t>DISTRIBUTOR</t>
  </si>
  <si>
    <t>VCG-2024-0013</t>
  </si>
  <si>
    <t>08-30-2024</t>
  </si>
  <si>
    <t xml:space="preserve">abuja </t>
  </si>
  <si>
    <t>Maggi Cube 100pcs</t>
  </si>
  <si>
    <t>VCG-2024-0029</t>
  </si>
  <si>
    <t>VCG-2024-0117</t>
  </si>
  <si>
    <t>ibadan</t>
  </si>
  <si>
    <t>Bose Adewale</t>
  </si>
  <si>
    <t>VCG-2024-0142</t>
  </si>
  <si>
    <t>VCG-2024-0282</t>
  </si>
  <si>
    <t>Kano</t>
  </si>
  <si>
    <t>Lux Soap 200g</t>
  </si>
  <si>
    <t>VCG-2024-0371</t>
  </si>
  <si>
    <t>Harpic Toilet Cleaner 500ml</t>
  </si>
  <si>
    <t>VCG-2024-0301</t>
  </si>
  <si>
    <t>18/11/2024</t>
  </si>
  <si>
    <t>VCG-2024-0239</t>
  </si>
  <si>
    <t>VCG-2024-0469</t>
  </si>
  <si>
    <t>18/03/2024</t>
  </si>
  <si>
    <t>VCG-2024-0226</t>
  </si>
  <si>
    <t>kano</t>
  </si>
  <si>
    <t>1800 NGN</t>
  </si>
  <si>
    <t>VCG-2024-0102</t>
  </si>
  <si>
    <t>KANO</t>
  </si>
  <si>
    <t>VCG-2024-0182</t>
  </si>
  <si>
    <t>VCG-2024-0332</t>
  </si>
  <si>
    <t xml:space="preserve">  ibadan</t>
  </si>
  <si>
    <t>VCG-2024-0349</t>
  </si>
  <si>
    <t>August 29, 2024</t>
  </si>
  <si>
    <t>VCG-2024-0093</t>
  </si>
  <si>
    <t>VCG-2024-0395</t>
  </si>
  <si>
    <t>May 27, 2024</t>
  </si>
  <si>
    <t>lagos</t>
  </si>
  <si>
    <t>VCG-2024-0285</t>
  </si>
  <si>
    <t>VCG-2024-0209</t>
  </si>
  <si>
    <t>Indomie Noodles 70g</t>
  </si>
  <si>
    <t>Distributor</t>
  </si>
  <si>
    <t>VCG-2024-0096</t>
  </si>
  <si>
    <t>VCG-2024-0413</t>
  </si>
  <si>
    <t>PORT HARCOURT</t>
  </si>
  <si>
    <t>VCG-2024-0039</t>
  </si>
  <si>
    <t>450 NGN</t>
  </si>
  <si>
    <t>VCG-2024-0262</t>
  </si>
  <si>
    <t>March 12, 2024</t>
  </si>
  <si>
    <t xml:space="preserve">Ngozi Okafor  </t>
  </si>
  <si>
    <t>VCG-2024-0433</t>
  </si>
  <si>
    <t xml:space="preserve">Amina Yusuf  </t>
  </si>
  <si>
    <t>Vaseline Petroleum Jelly 250ml</t>
  </si>
  <si>
    <t>VCG-2024-0067</t>
  </si>
  <si>
    <t>VCG-2024-0375</t>
  </si>
  <si>
    <t>VCG-2024-0383</t>
  </si>
  <si>
    <t>VCG-2024-0211</t>
  </si>
  <si>
    <t>March 26, 2024</t>
  </si>
  <si>
    <t>VCG-2024-0257</t>
  </si>
  <si>
    <t>VCG-2024-0048</t>
  </si>
  <si>
    <t>27/05/2024</t>
  </si>
  <si>
    <t xml:space="preserve">Emeka Eze  </t>
  </si>
  <si>
    <t>VCG-2024-0103</t>
  </si>
  <si>
    <t>VCG-2024-0038</t>
  </si>
  <si>
    <t>December 12, 2024</t>
  </si>
  <si>
    <t>VCG-2024-0110</t>
  </si>
  <si>
    <t>VCG-2024-0043</t>
  </si>
  <si>
    <t>VCG-2024-0400</t>
  </si>
  <si>
    <t>March 15, 2024</t>
  </si>
  <si>
    <t>VCG-2024-0286</t>
  </si>
  <si>
    <t>VCG-2024-0008</t>
  </si>
  <si>
    <t>10-10-2024</t>
  </si>
  <si>
    <t>Nivea Cream 200ml</t>
  </si>
  <si>
    <t>VCG-2024-0051</t>
  </si>
  <si>
    <t>September 08, 2024</t>
  </si>
  <si>
    <t>IBADAN</t>
  </si>
  <si>
    <t>VCG-2024-0063</t>
  </si>
  <si>
    <t>VCG-2024-0062</t>
  </si>
  <si>
    <t>Peak Milk Tin 400g</t>
  </si>
  <si>
    <t>VCG-2024-0384</t>
  </si>
  <si>
    <t>11-11-2024</t>
  </si>
  <si>
    <t>VCG-2024-0253</t>
  </si>
  <si>
    <t>VCG-2024-0007</t>
  </si>
  <si>
    <t>VCG-2024-0177</t>
  </si>
  <si>
    <t xml:space="preserve">  Lagos.</t>
  </si>
  <si>
    <t>VCG-2024-0127</t>
  </si>
  <si>
    <t>VCG-2024-0366</t>
  </si>
  <si>
    <t>VCG-2024-0107</t>
  </si>
  <si>
    <t>07-28-2024</t>
  </si>
  <si>
    <t>VCG-2024-0322</t>
  </si>
  <si>
    <t>Hypo Bleach 1L</t>
  </si>
  <si>
    <t>VCG-2024-0072</t>
  </si>
  <si>
    <t xml:space="preserve">Adaobi Nwosu  </t>
  </si>
  <si>
    <t>VCG-2024-0337</t>
  </si>
  <si>
    <t>VCG-2024-0170</t>
  </si>
  <si>
    <t xml:space="preserve">  kano</t>
  </si>
  <si>
    <t>VCG-2024-0163</t>
  </si>
  <si>
    <t>12-26-2024</t>
  </si>
  <si>
    <t>VCG-2024-0361</t>
  </si>
  <si>
    <t>VCG-2024-0121</t>
  </si>
  <si>
    <t>April 25, 2024</t>
  </si>
  <si>
    <t>VCG-2024-0428</t>
  </si>
  <si>
    <t>VCG-2024-0106</t>
  </si>
  <si>
    <t>VCG-2024-0016</t>
  </si>
  <si>
    <t xml:space="preserve">Kunle Adeyemi  </t>
  </si>
  <si>
    <t>VCG-2024-0403</t>
  </si>
  <si>
    <t>VCG-2024-0410</t>
  </si>
  <si>
    <t xml:space="preserve">  IBADAN</t>
  </si>
  <si>
    <t>VCG-2024-0373</t>
  </si>
  <si>
    <t>VCG-2024-0213</t>
  </si>
  <si>
    <t>VCG-2024-0004</t>
  </si>
  <si>
    <t>VCG-2024-0118</t>
  </si>
  <si>
    <t>VCG-2024-0129</t>
  </si>
  <si>
    <t>26/12/2024</t>
  </si>
  <si>
    <t>VCG-2024-0041</t>
  </si>
  <si>
    <t>VCG-2024-0020</t>
  </si>
  <si>
    <t>VCG-2024-0139</t>
  </si>
  <si>
    <t>01/10/2024</t>
  </si>
  <si>
    <t>VCG-2024-0380</t>
  </si>
  <si>
    <t>VCG-2024-0078</t>
  </si>
  <si>
    <t>13/03/2024</t>
  </si>
  <si>
    <t xml:space="preserve">  Lagos</t>
  </si>
  <si>
    <t>VCG-2024-0336</t>
  </si>
  <si>
    <t>VCG-2024-0241</t>
  </si>
  <si>
    <t>VCG-2024-0085</t>
  </si>
  <si>
    <t>VCG-2024-0073</t>
  </si>
  <si>
    <t>07/10/2024</t>
  </si>
  <si>
    <t>VCG-2024-0246</t>
  </si>
  <si>
    <t>VCG-2024-0128</t>
  </si>
  <si>
    <t>16/08/2024</t>
  </si>
  <si>
    <t xml:space="preserve">  Portharcourt</t>
  </si>
  <si>
    <t>VCG-2024-0356</t>
  </si>
  <si>
    <t>VCG-2024-0461</t>
  </si>
  <si>
    <t>10/09/2024</t>
  </si>
  <si>
    <t>VCG-2024-0090</t>
  </si>
  <si>
    <t>VCG-2024-0421</t>
  </si>
  <si>
    <t>09/09/2024</t>
  </si>
  <si>
    <t>VCG-2024-0438</t>
  </si>
  <si>
    <t>July 30, 2024</t>
  </si>
  <si>
    <t>VCG-2024-0444</t>
  </si>
  <si>
    <t>June 14, 2024</t>
  </si>
  <si>
    <t>VCG-2024-0122</t>
  </si>
  <si>
    <t>June 25, 2024</t>
  </si>
  <si>
    <t>VCG-2024-0270</t>
  </si>
  <si>
    <t>VCG-2024-0069</t>
  </si>
  <si>
    <t>VCG-2024-0019</t>
  </si>
  <si>
    <t>VCG-2024-0417</t>
  </si>
  <si>
    <t>VCG-2024-0221</t>
  </si>
  <si>
    <t>VCG-2024-0350</t>
  </si>
  <si>
    <t>12-09-2024</t>
  </si>
  <si>
    <t>VCG-2024-0388</t>
  </si>
  <si>
    <t>VCG-2024-0026</t>
  </si>
  <si>
    <t>September 23, 2024</t>
  </si>
  <si>
    <t>VCG-2024-0059</t>
  </si>
  <si>
    <t>20/11/2024</t>
  </si>
  <si>
    <t>VCG-2024-0471</t>
  </si>
  <si>
    <t>VCG-2024-0021</t>
  </si>
  <si>
    <t>VCG-2024-0320</t>
  </si>
  <si>
    <t>17/04/2024</t>
  </si>
  <si>
    <t>VCG-2024-0216</t>
  </si>
  <si>
    <t>VCG-2024-0399</t>
  </si>
  <si>
    <t>VCG-2024-0401</t>
  </si>
  <si>
    <t>September 02, 2024</t>
  </si>
  <si>
    <t>VCG-2024-0323</t>
  </si>
  <si>
    <t>VCG-2024-0478</t>
  </si>
  <si>
    <t>VCG-2024-0135</t>
  </si>
  <si>
    <t>01-17-2024</t>
  </si>
  <si>
    <t>VCG-2024-0353</t>
  </si>
  <si>
    <t>VCG-2024-0080</t>
  </si>
  <si>
    <t xml:space="preserve">Uche Nnamdi  </t>
  </si>
  <si>
    <t>VCG-2024-0158</t>
  </si>
  <si>
    <t>VCG-2024-0218</t>
  </si>
  <si>
    <t>VCG-2024-0357</t>
  </si>
  <si>
    <t>VCG-2024-0006</t>
  </si>
  <si>
    <t>10-17-2024</t>
  </si>
  <si>
    <t>VCG-2024-0157</t>
  </si>
  <si>
    <t>VCG-2024-0035</t>
  </si>
  <si>
    <t>VCG-2024-0056</t>
  </si>
  <si>
    <t>April 06, 2024</t>
  </si>
  <si>
    <t>VCG-2024-0215</t>
  </si>
  <si>
    <t>June 02, 2024</t>
  </si>
  <si>
    <t xml:space="preserve">  Ibadan</t>
  </si>
  <si>
    <t>VCG-2024-0049</t>
  </si>
  <si>
    <t>VCG-2024-0010</t>
  </si>
  <si>
    <t>VCG-2024-0261</t>
  </si>
  <si>
    <t>VCG-2024-0389</t>
  </si>
  <si>
    <t>VCG-2024-0184</t>
  </si>
  <si>
    <t>VCG-2024-0289</t>
  </si>
  <si>
    <t>VCG-2024-0188</t>
  </si>
  <si>
    <t>VCG-2024-0091</t>
  </si>
  <si>
    <t>VCG-2024-0134</t>
  </si>
  <si>
    <t>04-24-2024</t>
  </si>
  <si>
    <t>VCG-2024-0358</t>
  </si>
  <si>
    <t>07-03-2024</t>
  </si>
  <si>
    <t>VCG-2024-0192</t>
  </si>
  <si>
    <t>VCG-2024-0036</t>
  </si>
  <si>
    <t>VCG-2024-0237</t>
  </si>
  <si>
    <t>2800 NGN</t>
  </si>
  <si>
    <t>VCG-2024-0137</t>
  </si>
  <si>
    <t>October 12, 2024</t>
  </si>
  <si>
    <t>VCG-2024-0279</t>
  </si>
  <si>
    <t>June 26, 2024</t>
  </si>
  <si>
    <t>VCG-2024-0190</t>
  </si>
  <si>
    <t>VCG-2024-0313</t>
  </si>
  <si>
    <t>VCG-2024-0392</t>
  </si>
  <si>
    <t>20/06/2024</t>
  </si>
  <si>
    <t>VCG-2024-0333</t>
  </si>
  <si>
    <t>24/03/2024</t>
  </si>
  <si>
    <t>VCG-2024-0370</t>
  </si>
  <si>
    <t>VCG-2024-0437</t>
  </si>
  <si>
    <t>July 20, 2024</t>
  </si>
  <si>
    <t>VCG-2024-0044</t>
  </si>
  <si>
    <t>VCG-2024-0140</t>
  </si>
  <si>
    <t>VCG-2024-0094</t>
  </si>
  <si>
    <t>VCG-2024-0208</t>
  </si>
  <si>
    <t>VCG-2024-0130</t>
  </si>
  <si>
    <t>12-06-2024</t>
  </si>
  <si>
    <t>VCG-2024-0310</t>
  </si>
  <si>
    <t>VCG-2024-0232</t>
  </si>
  <si>
    <t>VCG-2024-0009</t>
  </si>
  <si>
    <t>VCG-2024-0374</t>
  </si>
  <si>
    <t>VCG-2024-0423</t>
  </si>
  <si>
    <t>VCG-2024-0442</t>
  </si>
  <si>
    <t>08-20-2024</t>
  </si>
  <si>
    <t>VCG-2024-0480</t>
  </si>
  <si>
    <t>VCG-2024-0238</t>
  </si>
  <si>
    <t>VCG-2024-0280</t>
  </si>
  <si>
    <t>05-11-2024</t>
  </si>
  <si>
    <t>VCG-2024-0148</t>
  </si>
  <si>
    <t>VCG-2024-0206</t>
  </si>
  <si>
    <t>VCG-2024-0011</t>
  </si>
  <si>
    <t>April 18, 2024</t>
  </si>
  <si>
    <t xml:space="preserve">  abuja </t>
  </si>
  <si>
    <t>VCG-2024-0018</t>
  </si>
  <si>
    <t xml:space="preserve">Tunde Adesanya  </t>
  </si>
  <si>
    <t>VCG-2024-0081</t>
  </si>
  <si>
    <t>29/09/2024</t>
  </si>
  <si>
    <t>VCG-2024-0387</t>
  </si>
  <si>
    <t>28/03/2024</t>
  </si>
  <si>
    <t>VCG-2024-0394</t>
  </si>
  <si>
    <t>VCG-2024-0002</t>
  </si>
  <si>
    <t>28/11/2024</t>
  </si>
  <si>
    <t>VCG-2024-0181</t>
  </si>
  <si>
    <t>April 14, 2024</t>
  </si>
  <si>
    <t>VCG-2024-0440</t>
  </si>
  <si>
    <t>09-01-2024</t>
  </si>
  <si>
    <t>VCG-2024-0315</t>
  </si>
  <si>
    <t>26/04/2024</t>
  </si>
  <si>
    <t>VCG-2024-0214</t>
  </si>
  <si>
    <t>July 21, 2024</t>
  </si>
  <si>
    <t>VCG-2024-0343</t>
  </si>
  <si>
    <t>VCG-2024-0390</t>
  </si>
  <si>
    <t>VCG-2024-0054</t>
  </si>
  <si>
    <t>VCG-2024-0231</t>
  </si>
  <si>
    <t>VCG-2024-0242</t>
  </si>
  <si>
    <t>07/04/2024</t>
  </si>
  <si>
    <t>VCG-2024-0298</t>
  </si>
  <si>
    <t>VCG-2024-0398</t>
  </si>
  <si>
    <t>VCG-2024-0287</t>
  </si>
  <si>
    <t>VCG-2024-0435</t>
  </si>
  <si>
    <t>VCG-2024-0352</t>
  </si>
  <si>
    <t>VCG-2024-0230</t>
  </si>
  <si>
    <t>VCG-2024-0136</t>
  </si>
  <si>
    <t>VCG-2024-0305</t>
  </si>
  <si>
    <t>VCG-2024-0143</t>
  </si>
  <si>
    <t>VCG-2024-0283</t>
  </si>
  <si>
    <t>05-07-2024</t>
  </si>
  <si>
    <t>VCG-2024-0225</t>
  </si>
  <si>
    <t>VCG-2024-0272</t>
  </si>
  <si>
    <t>April 27, 2024</t>
  </si>
  <si>
    <t>VCG-2024-0104</t>
  </si>
  <si>
    <t>July 17, 2024</t>
  </si>
  <si>
    <t>VCG-2024-0138</t>
  </si>
  <si>
    <t>05-03-2024</t>
  </si>
  <si>
    <t>VCG-2024-0273</t>
  </si>
  <si>
    <t>VCG-2024-0455</t>
  </si>
  <si>
    <t>VCG-2024-0291</t>
  </si>
  <si>
    <t>VCG-2024-0033</t>
  </si>
  <si>
    <t>04-15-2024</t>
  </si>
  <si>
    <t>VCG-2024-0418</t>
  </si>
  <si>
    <t>VCG-2024-0265</t>
  </si>
  <si>
    <t>VCG-2024-0284</t>
  </si>
  <si>
    <t>10-21-2024</t>
  </si>
  <si>
    <t>VCG-2024-0180</t>
  </si>
  <si>
    <t>January 31, 2024</t>
  </si>
  <si>
    <t xml:space="preserve">  KANO</t>
  </si>
  <si>
    <t xml:space="preserve">Bose Adewale  </t>
  </si>
  <si>
    <t>VCG-2024-0404</t>
  </si>
  <si>
    <t>05/08/2024</t>
  </si>
  <si>
    <t>VCG-2024-0260</t>
  </si>
  <si>
    <t>VCG-2024-0099</t>
  </si>
  <si>
    <t>July 22, 2024</t>
  </si>
  <si>
    <t>VCG-2024-0409</t>
  </si>
  <si>
    <t>03/04/2024</t>
  </si>
  <si>
    <t>VCG-2024-0346</t>
  </si>
  <si>
    <t>VCG-2024-0317</t>
  </si>
  <si>
    <t>10/08/2024</t>
  </si>
  <si>
    <t>VCG-2024-0025</t>
  </si>
  <si>
    <t>02-29-2024</t>
  </si>
  <si>
    <t xml:space="preserve">  port harcourt</t>
  </si>
  <si>
    <t>VCG-2024-0327</t>
  </si>
  <si>
    <t>VCG-2024-0334</t>
  </si>
  <si>
    <t>VCG-2024-0463</t>
  </si>
  <si>
    <t>October 27, 2024</t>
  </si>
  <si>
    <t>VCG-2024-0123</t>
  </si>
  <si>
    <t>VCG-2024-0266</t>
  </si>
  <si>
    <t>VCG-2024-0147</t>
  </si>
  <si>
    <t>VCG-2024-0468</t>
  </si>
  <si>
    <t>VCG-2024-0382</t>
  </si>
  <si>
    <t>VCG-2024-0131</t>
  </si>
  <si>
    <t>VCG-2024-0027</t>
  </si>
  <si>
    <t>VCG-2024-0165</t>
  </si>
  <si>
    <t>VCG-2024-0263</t>
  </si>
  <si>
    <t>October 05, 2024</t>
  </si>
  <si>
    <t>VCG-2024-0397</t>
  </si>
  <si>
    <t>VCG-2024-0022</t>
  </si>
  <si>
    <t>VCG-2024-0030</t>
  </si>
  <si>
    <t>24/02/2024</t>
  </si>
  <si>
    <t>VCG-2024-0391</t>
  </si>
  <si>
    <t>VCG-2024-0003</t>
  </si>
  <si>
    <t>VCG-2024-0095</t>
  </si>
  <si>
    <t>VCG-2024-0354</t>
  </si>
  <si>
    <t>VCG-2024-0453</t>
  </si>
  <si>
    <t>VCG-2024-0360</t>
  </si>
  <si>
    <t>VCG-2024-0290</t>
  </si>
  <si>
    <t xml:space="preserve">  Abuja</t>
  </si>
  <si>
    <t>VCG-2024-0465</t>
  </si>
  <si>
    <t>VCG-2024-0210</t>
  </si>
  <si>
    <t>VCG-2024-0222</t>
  </si>
  <si>
    <t>VCG-2024-0119</t>
  </si>
  <si>
    <t>VCG-2024-0200</t>
  </si>
  <si>
    <t>VCG-2024-0023</t>
  </si>
  <si>
    <t>March 31, 2024</t>
  </si>
  <si>
    <t>VCG-2024-0169</t>
  </si>
  <si>
    <t>VCG-2024-0172</t>
  </si>
  <si>
    <t>02/02/2024</t>
  </si>
  <si>
    <t>VCG-2024-0456</t>
  </si>
  <si>
    <t xml:space="preserve">  lagos</t>
  </si>
  <si>
    <t>VCG-2024-0178</t>
  </si>
  <si>
    <t>VCG-2024-0364</t>
  </si>
  <si>
    <t>VCG-2024-0378</t>
  </si>
  <si>
    <t>VCG-2024-0191</t>
  </si>
  <si>
    <t>VCG-2024-0426</t>
  </si>
  <si>
    <t>VCG-2024-0089</t>
  </si>
  <si>
    <t>06-17-2024</t>
  </si>
  <si>
    <t>VCG-2024-0450</t>
  </si>
  <si>
    <t>VCG-2024-0251</t>
  </si>
  <si>
    <t>VCG-2024-0204</t>
  </si>
  <si>
    <t>VCG-2024-0458</t>
  </si>
  <si>
    <t>VCG-2024-0269</t>
  </si>
  <si>
    <t>VCG-2024-0434</t>
  </si>
  <si>
    <t>VCG-2024-0126</t>
  </si>
  <si>
    <t>VCG-2024-0207</t>
  </si>
  <si>
    <t>10-08-2024</t>
  </si>
  <si>
    <t>VCG-2024-0077</t>
  </si>
  <si>
    <t>VCG-2024-0430</t>
  </si>
  <si>
    <t>VCG-2024-0174</t>
  </si>
  <si>
    <t>VCG-2024-0264</t>
  </si>
  <si>
    <t>05-02-2024</t>
  </si>
  <si>
    <t>VCG-2024-0061</t>
  </si>
  <si>
    <t>VCG-2024-0319</t>
  </si>
  <si>
    <t>VCG-2024-0318</t>
  </si>
  <si>
    <t>VCG-2024-0415</t>
  </si>
  <si>
    <t>April 19, 2024</t>
  </si>
  <si>
    <t>VCG-2024-0183</t>
  </si>
  <si>
    <t>VCG-2024-0297</t>
  </si>
  <si>
    <t>11-09-2024</t>
  </si>
  <si>
    <t>VCG-2024-0445</t>
  </si>
  <si>
    <t>December 09, 2024</t>
  </si>
  <si>
    <t>VCG-2024-0219</t>
  </si>
  <si>
    <t>VCG-2024-0412</t>
  </si>
  <si>
    <t>3500 NGN</t>
  </si>
  <si>
    <t>VCG-2024-0342</t>
  </si>
  <si>
    <t>June 22, 2024</t>
  </si>
  <si>
    <t>VCG-2024-0053</t>
  </si>
  <si>
    <t>VCG-2024-0186</t>
  </si>
  <si>
    <t>January 24, 2024</t>
  </si>
  <si>
    <t>VCG-2024-0351</t>
  </si>
  <si>
    <t>May 12, 2024</t>
  </si>
  <si>
    <t>VCG-2024-0101</t>
  </si>
  <si>
    <t>VCG-2024-0112</t>
  </si>
  <si>
    <t>VCG-2024-0321</t>
  </si>
  <si>
    <t>VCG-2024-0339</t>
  </si>
  <si>
    <t>VCG-2024-0326</t>
  </si>
  <si>
    <t>VCG-2024-0248</t>
  </si>
  <si>
    <t>VCG-2024-0227</t>
  </si>
  <si>
    <t>VCG-2024-0071</t>
  </si>
  <si>
    <t>VCG-2024-0084</t>
  </si>
  <si>
    <t>VCG-2024-0235</t>
  </si>
  <si>
    <t>VCG-2024-0156</t>
  </si>
  <si>
    <t xml:space="preserve">  ENUGU</t>
  </si>
  <si>
    <t>VCG-2024-0028</t>
  </si>
  <si>
    <t>VCG-2024-0166</t>
  </si>
  <si>
    <t>VCG-2024-0068</t>
  </si>
  <si>
    <t>VCG-2024-0050</t>
  </si>
  <si>
    <t>VCG-2024-0202</t>
  </si>
  <si>
    <t>VCG-2024-0312</t>
  </si>
  <si>
    <t>VCG-2024-0466</t>
  </si>
  <si>
    <t>VCG-2024-0302</t>
  </si>
  <si>
    <t>VCG-2024-0145</t>
  </si>
  <si>
    <t>VCG-2024-0271</t>
  </si>
  <si>
    <t>VCG-2024-0037</t>
  </si>
  <si>
    <t>VCG-2024-0306</t>
  </si>
  <si>
    <t>December 03, 2024</t>
  </si>
  <si>
    <t>VCG-2024-0467</t>
  </si>
  <si>
    <t>VCG-2024-0479</t>
  </si>
  <si>
    <t>VCG-2024-0243</t>
  </si>
  <si>
    <t>17/09/2024</t>
  </si>
  <si>
    <t>VCG-2024-0363</t>
  </si>
  <si>
    <t>VCG-2024-0173</t>
  </si>
  <si>
    <t>VCG-2024-0316</t>
  </si>
  <si>
    <t>VCG-2024-0447</t>
  </si>
  <si>
    <t>VCG-2024-0012</t>
  </si>
  <si>
    <t>06/02/2024</t>
  </si>
  <si>
    <t>VCG-2024-0082</t>
  </si>
  <si>
    <t>VCG-2024-0154</t>
  </si>
  <si>
    <t>VCG-2024-0201</t>
  </si>
  <si>
    <t>11/08/2024</t>
  </si>
  <si>
    <t>VCG-2024-0250</t>
  </si>
  <si>
    <t>VCG-2024-0092</t>
  </si>
  <si>
    <t>VCG-2024-0116</t>
  </si>
  <si>
    <t>VCG-2024-0108</t>
  </si>
  <si>
    <t>01-29-2024</t>
  </si>
  <si>
    <t>VCG-2024-0079</t>
  </si>
  <si>
    <t>VCG-2024-0406</t>
  </si>
  <si>
    <t>VCG-2024-0031</t>
  </si>
  <si>
    <t>VCG-2024-0193</t>
  </si>
  <si>
    <t>VCG-2024-0150</t>
  </si>
  <si>
    <t>November 10, 2024</t>
  </si>
  <si>
    <t>VCG-2024-0254</t>
  </si>
  <si>
    <t>04-19-2024</t>
  </si>
  <si>
    <t>VCG-2024-0111</t>
  </si>
  <si>
    <t>VCG-2024-0324</t>
  </si>
  <si>
    <t>October 11, 2024</t>
  </si>
  <si>
    <t>VCG-2024-0245</t>
  </si>
  <si>
    <t>VCG-2024-0470</t>
  </si>
  <si>
    <t>September 21, 2024</t>
  </si>
  <si>
    <t>VCG-2024-0141</t>
  </si>
  <si>
    <t>VCG-2024-0416</t>
  </si>
  <si>
    <t>VCG-2024-0258</t>
  </si>
  <si>
    <t>VCG-2024-0159</t>
  </si>
  <si>
    <t>June 18, 2024</t>
  </si>
  <si>
    <t>VCG-2024-0362</t>
  </si>
  <si>
    <t>VCG-2024-0307</t>
  </si>
  <si>
    <t>04-01-2024</t>
  </si>
  <si>
    <t>2200 NGN</t>
  </si>
  <si>
    <t>VCG-2024-0347</t>
  </si>
  <si>
    <t>VCG-2024-0146</t>
  </si>
  <si>
    <t>VCG-2024-0459</t>
  </si>
  <si>
    <t>04-06-2024</t>
  </si>
  <si>
    <t>VCG-2024-0076</t>
  </si>
  <si>
    <t>VCG-2024-0234</t>
  </si>
  <si>
    <t>07-09-2024</t>
  </si>
  <si>
    <t xml:space="preserve">  ABUJA</t>
  </si>
  <si>
    <t>VCG-2024-0256</t>
  </si>
  <si>
    <t>July 02, 2024</t>
  </si>
  <si>
    <t>VCG-2024-0422</t>
  </si>
  <si>
    <t>VCG-2024-0152</t>
  </si>
  <si>
    <t>VCG-2024-0075</t>
  </si>
  <si>
    <t>VCG-2024-0162</t>
  </si>
  <si>
    <t>900 NGN</t>
  </si>
  <si>
    <t>VCG-2024-0236</t>
  </si>
  <si>
    <t>VCG-2024-0276</t>
  </si>
  <si>
    <t>VCG-2024-0005</t>
  </si>
  <si>
    <t>30/09/2024</t>
  </si>
  <si>
    <t>VCG-2024-0203</t>
  </si>
  <si>
    <t>VCG-2024-0431</t>
  </si>
  <si>
    <t>VCG-2024-0114</t>
  </si>
  <si>
    <t>VCG-2024-0429</t>
  </si>
  <si>
    <t>VCG-2024-0309</t>
  </si>
  <si>
    <t>VCG-2024-0441</t>
  </si>
  <si>
    <t>February 15, 2024</t>
  </si>
  <si>
    <t>VCG-2024-0462</t>
  </si>
  <si>
    <t>VCG-2024-0065</t>
  </si>
  <si>
    <t>VCG-2024-0187</t>
  </si>
  <si>
    <t>10/04/2024</t>
  </si>
  <si>
    <t>VCG-2024-0164</t>
  </si>
  <si>
    <t>VCG-2024-0217</t>
  </si>
  <si>
    <t>VCG-2024-0199</t>
  </si>
  <si>
    <t>VCG-2024-0098</t>
  </si>
  <si>
    <t>VCG-2024-0275</t>
  </si>
  <si>
    <t>VCG-2024-0303</t>
  </si>
  <si>
    <t>VCG-2024-0032</t>
  </si>
  <si>
    <t>09/02/2024</t>
  </si>
  <si>
    <t>VCG-2024-0160</t>
  </si>
  <si>
    <t>VCG-2024-0001</t>
  </si>
  <si>
    <t>VCG-2024-0296</t>
  </si>
  <si>
    <t>VCG-2024-0195</t>
  </si>
  <si>
    <t>VCG-2024-0161</t>
  </si>
  <si>
    <t>VCG-2024-0454</t>
  </si>
  <si>
    <t>VCG-2024-0189</t>
  </si>
  <si>
    <t>VCG-2024-0294</t>
  </si>
  <si>
    <t>VCG-2024-0385</t>
  </si>
  <si>
    <t>VCG-2024-0097</t>
  </si>
  <si>
    <t>VCG-2024-0304</t>
  </si>
  <si>
    <t>May 08, 2024</t>
  </si>
  <si>
    <t>VCG-2024-0175</t>
  </si>
  <si>
    <t>VCG-2024-0432</t>
  </si>
  <si>
    <t>VCG-2024-0058</t>
  </si>
  <si>
    <t>02-11-2024</t>
  </si>
  <si>
    <t>VCG-2024-0451</t>
  </si>
  <si>
    <t>VCG-2024-0149</t>
  </si>
  <si>
    <t>VCG-2024-0443</t>
  </si>
  <si>
    <t>VCG-2024-0133</t>
  </si>
  <si>
    <t>November 26, 2024</t>
  </si>
  <si>
    <t>VCG-2024-0405</t>
  </si>
  <si>
    <t>November 23, 2024</t>
  </si>
  <si>
    <t>VCG-2024-0015</t>
  </si>
  <si>
    <t xml:space="preserve">Chidi Obiora  </t>
  </si>
  <si>
    <t>VCG-2024-0224</t>
  </si>
  <si>
    <t>VCG-2024-0288</t>
  </si>
  <si>
    <t>VCG-2024-0329</t>
  </si>
  <si>
    <t>VCG-2024-0335</t>
  </si>
  <si>
    <t>VCG-2024-0196</t>
  </si>
  <si>
    <t>VCG-2024-0411</t>
  </si>
  <si>
    <t>VCG-2024-0381</t>
  </si>
  <si>
    <t>October 30, 2024</t>
  </si>
  <si>
    <t>VCG-2024-0368</t>
  </si>
  <si>
    <t>VCG-2024-0194</t>
  </si>
  <si>
    <t>VCG-2024-0176</t>
  </si>
  <si>
    <t>VCG-2024-0330</t>
  </si>
  <si>
    <t>VCG-2024-0034</t>
  </si>
  <si>
    <t>06/10/2024</t>
  </si>
  <si>
    <t>VCG-2024-0308</t>
  </si>
  <si>
    <t>VCG-2024-0424</t>
  </si>
  <si>
    <t>VCG-2024-0295</t>
  </si>
  <si>
    <t>VCG-2024-0115</t>
  </si>
  <si>
    <t>VCG-2024-0171</t>
  </si>
  <si>
    <t>VCG-2024-0355</t>
  </si>
  <si>
    <t>VCG-2024-0452</t>
  </si>
  <si>
    <t>VCG-2024-0047</t>
  </si>
  <si>
    <t>November 08, 2024</t>
  </si>
  <si>
    <t>VCG-2024-0252</t>
  </si>
  <si>
    <t>VCG-2024-0372</t>
  </si>
  <si>
    <t>500 NGN</t>
  </si>
  <si>
    <t>VCG-2024-0325</t>
  </si>
  <si>
    <t>VCG-2024-0274</t>
  </si>
  <si>
    <t>VCG-2024-0070</t>
  </si>
  <si>
    <t>16/03/2024</t>
  </si>
  <si>
    <t>VCG-2024-0419</t>
  </si>
  <si>
    <t>19/05/2024</t>
  </si>
  <si>
    <t>VCG-2024-0064</t>
  </si>
  <si>
    <t>VCG-2024-0344</t>
  </si>
  <si>
    <t>06/06/2024</t>
  </si>
  <si>
    <t>VCG-2024-0476</t>
  </si>
  <si>
    <t>VCG-2024-0341</t>
  </si>
  <si>
    <t>VCG-2024-0132</t>
  </si>
  <si>
    <t>05-10-2024</t>
  </si>
  <si>
    <t>VCG-2024-0369</t>
  </si>
  <si>
    <t>VCG-2024-0113</t>
  </si>
  <si>
    <t>1500 NGN</t>
  </si>
  <si>
    <t>VCG-2024-0144</t>
  </si>
  <si>
    <t>VCG-2024-0393</t>
  </si>
  <si>
    <t>VCG-2024-0197</t>
  </si>
  <si>
    <t>April 29, 2024</t>
  </si>
  <si>
    <t>VCG-2024-0168</t>
  </si>
  <si>
    <t>VCG-2024-0083</t>
  </si>
  <si>
    <t>VCG-2024-0457</t>
  </si>
  <si>
    <t>VCG-2024-0223</t>
  </si>
  <si>
    <t>13/10/2024</t>
  </si>
  <si>
    <t>VCG-2024-0055</t>
  </si>
  <si>
    <t>VCG-2024-0046</t>
  </si>
  <si>
    <t>October 15, 2024</t>
  </si>
  <si>
    <t>VCG-2024-0473</t>
  </si>
  <si>
    <t>VCG-2024-0475</t>
  </si>
  <si>
    <t>VCG-2024-0386</t>
  </si>
  <si>
    <t>VCG-2024-0088</t>
  </si>
  <si>
    <t>December 02, 2024</t>
  </si>
  <si>
    <t>VCG-2024-0109</t>
  </si>
  <si>
    <t>VCG-2024-0125</t>
  </si>
  <si>
    <t>January 20, 2024</t>
  </si>
  <si>
    <t>VCG-2024-0124</t>
  </si>
  <si>
    <t>October 08, 2024</t>
  </si>
  <si>
    <t>VCG-2024-0277</t>
  </si>
  <si>
    <t>VCG-2024-0340</t>
  </si>
  <si>
    <t>VCG-2024-0247</t>
  </si>
  <si>
    <t>VCG-2024-0060</t>
  </si>
  <si>
    <t>VCG-2024-0229</t>
  </si>
  <si>
    <t>VCG-2024-0087</t>
  </si>
  <si>
    <t>VCG-2024-0240</t>
  </si>
  <si>
    <t>VCG-2024-0281</t>
  </si>
  <si>
    <t>VCG-2024-0345</t>
  </si>
  <si>
    <t>VCG-2024-0427</t>
  </si>
  <si>
    <t>02-08-2024</t>
  </si>
  <si>
    <t>VCG-2024-0155</t>
  </si>
  <si>
    <t>VCG-2024-0045</t>
  </si>
  <si>
    <t>VCG-2024-0408</t>
  </si>
  <si>
    <t>VCG-2024-0255</t>
  </si>
  <si>
    <t>VCG-2024-0066</t>
  </si>
  <si>
    <t>VCG-2024-0017</t>
  </si>
  <si>
    <t>VCG-2024-0259</t>
  </si>
  <si>
    <t>VCG-2024-0367</t>
  </si>
  <si>
    <t>VCG-2024-0474</t>
  </si>
  <si>
    <t>04/06/2024</t>
  </si>
  <si>
    <t>VCG-2024-0402</t>
  </si>
  <si>
    <t>VCG-2024-0293</t>
  </si>
  <si>
    <t>VCG-2024-0449</t>
  </si>
  <si>
    <t>27/03/2024</t>
  </si>
  <si>
    <t>VCG-2024-0267</t>
  </si>
  <si>
    <t>VCG-2024-0446</t>
  </si>
  <si>
    <t>VCG-2024-0074</t>
  </si>
  <si>
    <t>06-22-2024</t>
  </si>
  <si>
    <t>VCG-2024-0365</t>
  </si>
  <si>
    <t>VCG-2024-0100</t>
  </si>
  <si>
    <t>August 13, 2024</t>
  </si>
  <si>
    <t>VCG-2024-0151</t>
  </si>
  <si>
    <t>VCG-2024-0198</t>
  </si>
  <si>
    <t>VCG-2024-0376</t>
  </si>
  <si>
    <t>VCG-2024-0052</t>
  </si>
  <si>
    <t>VCG-2024-0464</t>
  </si>
  <si>
    <t>VCG-2024-0359</t>
  </si>
  <si>
    <t>07-31-2024</t>
  </si>
  <si>
    <t>VCG-2024-0439</t>
  </si>
  <si>
    <t>VCG-2024-0338</t>
  </si>
  <si>
    <t>VCG-2024-0244</t>
  </si>
  <si>
    <t>June 24, 2024</t>
  </si>
  <si>
    <t>VCG-2024-0477</t>
  </si>
  <si>
    <t>VCG-2024-0220</t>
  </si>
  <si>
    <t>VCG-2024-0179</t>
  </si>
  <si>
    <t>September 27, 2024</t>
  </si>
  <si>
    <t>VCG-2024-0042</t>
  </si>
  <si>
    <t>VCG-2024-0407</t>
  </si>
  <si>
    <t>VCG-2024-0314</t>
  </si>
  <si>
    <t>VCG-2024-0379</t>
  </si>
  <si>
    <t>06-21-2024</t>
  </si>
  <si>
    <t>VCG-2024-0205</t>
  </si>
  <si>
    <t>May 13, 2024</t>
  </si>
  <si>
    <t>VCG-2024-0249</t>
  </si>
  <si>
    <t>VCG-2024-0311</t>
  </si>
  <si>
    <t>VCG-2024-0120</t>
  </si>
  <si>
    <t>VCG-2024-0228</t>
  </si>
  <si>
    <t>December 17, 2024</t>
  </si>
  <si>
    <t>VCG-2024-0348</t>
  </si>
  <si>
    <t>VCG-2024-0167</t>
  </si>
  <si>
    <t>16/10/2024</t>
  </si>
  <si>
    <t>VCG-2024-0377</t>
  </si>
  <si>
    <t>04-18-2024</t>
  </si>
  <si>
    <t>VCG-2024-0414</t>
  </si>
  <si>
    <t>03-23-2024</t>
  </si>
  <si>
    <t>VCG-2024-0024</t>
  </si>
  <si>
    <t>VCG-2024-0448</t>
  </si>
  <si>
    <t>VCG-2024-0185</t>
  </si>
  <si>
    <t>Vantara Consumer Goods Nigeria Ltd. — Dataset Dictionary</t>
  </si>
  <si>
    <t>Column Name</t>
  </si>
  <si>
    <t>Data Type</t>
  </si>
  <si>
    <t>Description</t>
  </si>
  <si>
    <t>Expected Values / Format</t>
  </si>
  <si>
    <t>Text</t>
  </si>
  <si>
    <t>Unique identifier for each sales transaction</t>
  </si>
  <si>
    <t>Format: VCG-YYYY-XXXX</t>
  </si>
  <si>
    <t>Date the transaction was recorded</t>
  </si>
  <si>
    <t>Format: DD/MM/YYYY</t>
  </si>
  <si>
    <t>Nigerian region where the sale occurred</t>
  </si>
  <si>
    <t>Lagos, Abuja, Port Harcourt, Kano, Ibadan, Enugu</t>
  </si>
  <si>
    <t>Name of the sales representative</t>
  </si>
  <si>
    <t>Full name</t>
  </si>
  <si>
    <t>Broad product category</t>
  </si>
  <si>
    <t>FMCG, Household, Personal Care</t>
  </si>
  <si>
    <t>Name of the product sold</t>
  </si>
  <si>
    <t>Standard product name</t>
  </si>
  <si>
    <t>Integer</t>
  </si>
  <si>
    <t>Number of units sold in the transaction</t>
  </si>
  <si>
    <t>Positive integers only</t>
  </si>
  <si>
    <t>Number</t>
  </si>
  <si>
    <t>Price per unit in Nigerian Naira</t>
  </si>
  <si>
    <t>Numeric, no currency symbols</t>
  </si>
  <si>
    <t>Total revenue (Units_Sold × Unit_Price_NGN)</t>
  </si>
  <si>
    <t>Numeric</t>
  </si>
  <si>
    <t>Number of units returned</t>
  </si>
  <si>
    <t>0 or positive integer, ≤ Units_Sold</t>
  </si>
  <si>
    <t>Type of customer</t>
  </si>
  <si>
    <t>Retail, Wholesale, Distributor</t>
  </si>
  <si>
    <t>Unknown</t>
  </si>
  <si>
    <t>Hypo Bleach 1l</t>
  </si>
  <si>
    <t>Dove Body lotion 400ml</t>
  </si>
  <si>
    <t>Unit_Price</t>
  </si>
  <si>
    <t>Returned Amount</t>
  </si>
  <si>
    <t>Net Revenue</t>
  </si>
  <si>
    <t>Column Affected</t>
  </si>
  <si>
    <t>Issue Type</t>
  </si>
  <si>
    <t>Example (from dataset)</t>
  </si>
  <si>
    <t>Rows Affected (Est.)</t>
  </si>
  <si>
    <t>Impact</t>
  </si>
  <si>
    <t>Proposed Fix</t>
  </si>
  <si>
    <t>Inconsistent format</t>
  </si>
  <si>
    <t>40+</t>
  </si>
  <si>
    <t>Affects grouping and regional analysis</t>
  </si>
  <si>
    <t>02/12/2024 / 12-02-2024 / January 5, 2024</t>
  </si>
  <si>
    <t>100+</t>
  </si>
  <si>
    <t>Prevents time-based analysis</t>
  </si>
  <si>
    <t>Sales_Rep / Segment / Revenue</t>
  </si>
  <si>
    <t>Missing values</t>
  </si>
  <si>
    <t>Blank cells</t>
  </si>
  <si>
    <t>20–30</t>
  </si>
  <si>
    <t>Incomplete analysis and reporting</t>
  </si>
  <si>
    <t>Fill, infer, or label as "Unknown"</t>
  </si>
  <si>
    <t>Revenue</t>
  </si>
  <si>
    <t>Units=5, Price=2000, Revenue=8000</t>
  </si>
  <si>
    <t>15+</t>
  </si>
  <si>
    <t>Misleading financial insights</t>
  </si>
  <si>
    <t>Recalculate Revenue = Units × Price</t>
  </si>
  <si>
    <t>Units</t>
  </si>
  <si>
    <t>Data entry error</t>
  </si>
  <si>
    <t>5–10</t>
  </si>
  <si>
    <t>Distorts sales performance</t>
  </si>
  <si>
    <t>All Columns</t>
  </si>
  <si>
    <t>Duplicate records</t>
  </si>
  <si>
    <t>Exact repeated rows</t>
  </si>
  <si>
    <t>Inflates totals</t>
  </si>
  <si>
    <t>Remove duplicates</t>
  </si>
  <si>
    <t>Price</t>
  </si>
  <si>
    <t>Wrong data type</t>
  </si>
  <si>
    <t>Prevents calculations</t>
  </si>
  <si>
    <t>Extra spaces</t>
  </si>
  <si>
    <t>Affects filtering/grouping</t>
  </si>
  <si>
    <t>Segment</t>
  </si>
  <si>
    <t>Inconsistent naming</t>
  </si>
  <si>
    <t>50+</t>
  </si>
  <si>
    <t>Incorrect segmentation analysis</t>
  </si>
  <si>
    <t>Standardize categories</t>
  </si>
  <si>
    <t>Revenue / Returns</t>
  </si>
  <si>
    <t>Missing derived metric</t>
  </si>
  <si>
    <t>No Net Revenue column</t>
  </si>
  <si>
    <t>All rows</t>
  </si>
  <si>
    <t>Cannot measure actual revenue</t>
  </si>
  <si>
    <t>Create Net Revenue = Revenue − Returns</t>
  </si>
  <si>
    <t>Lagos/Lagos.</t>
  </si>
  <si>
    <t>Calculation error, no attached currency</t>
  </si>
  <si>
    <t>Distrib./Distributor</t>
  </si>
  <si>
    <t>Product</t>
  </si>
  <si>
    <t>Use Replace function to fill in Unknown in blank spaces.</t>
  </si>
  <si>
    <t>Standardize using PROPER, CLEAN and TRIM</t>
  </si>
  <si>
    <t>Convert to standard date format (DD-MM-YYYY)</t>
  </si>
  <si>
    <t>Investigate or convert negative numbers to positive</t>
  </si>
  <si>
    <t>Replace text values to allow calculations</t>
  </si>
  <si>
    <t>10+</t>
  </si>
  <si>
    <t>Row Labels</t>
  </si>
  <si>
    <t>Grand Total</t>
  </si>
  <si>
    <t>Jan</t>
  </si>
  <si>
    <t>Feb</t>
  </si>
  <si>
    <t>Mar</t>
  </si>
  <si>
    <t>Apr</t>
  </si>
  <si>
    <t>May</t>
  </si>
  <si>
    <t>Jun</t>
  </si>
  <si>
    <t>Jul</t>
  </si>
  <si>
    <t>Aug</t>
  </si>
  <si>
    <t>Sep</t>
  </si>
  <si>
    <t>Oct</t>
  </si>
  <si>
    <t>Nov</t>
  </si>
  <si>
    <t>Dec</t>
  </si>
  <si>
    <t>Sum of Net Revenue</t>
  </si>
  <si>
    <t>Average of Net Revenue</t>
  </si>
  <si>
    <t>Average Order Value</t>
  </si>
  <si>
    <t>Max of Net Revenue</t>
  </si>
  <si>
    <t>Min of Net Revenue</t>
  </si>
  <si>
    <t>Total Sales Revenue</t>
  </si>
  <si>
    <t>Maximum Order Value</t>
  </si>
  <si>
    <t>Minimum Order Value</t>
  </si>
  <si>
    <t>Revenue by Product Category</t>
  </si>
  <si>
    <t>Revenue by Region</t>
  </si>
  <si>
    <t>Revenue by Date</t>
  </si>
  <si>
    <t>Net Unit Sold</t>
  </si>
  <si>
    <t>Top 5 Best-Performing Products</t>
  </si>
  <si>
    <t>Top 5 Under-Performing Products</t>
  </si>
  <si>
    <t>Total Revenue</t>
  </si>
  <si>
    <t>Average Revenue</t>
  </si>
  <si>
    <t>Maximum Revenue</t>
  </si>
  <si>
    <t>Total Units Sold</t>
  </si>
  <si>
    <t>Sum of Net Unit Sold</t>
  </si>
  <si>
    <t>Top 5 Best Performing Products</t>
  </si>
  <si>
    <t>Top 5 Under Performing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</si>
</sst>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h:mm:ss"/>
    <numFmt numFmtId="165" formatCode="dd/mm/yyyy;@"/>
    <numFmt numFmtId="166" formatCode="[$₦-466]\ #,##0.00"/>
    <numFmt numFmtId="167" formatCode="[$₦-466]\ #,##0"/>
    <numFmt numFmtId="168" formatCode="[$₦-466]\ #,##0;\-[$₦-466]\ #,##0"/>
  </numFmts>
  <fonts count="11" x14ac:knownFonts="1">
    <font>
      <sz val="11"/>
      <color theme="1"/>
      <name val="Calibri"/>
      <family val="2"/>
      <scheme val="minor"/>
    </font>
    <font>
      <b/>
      <sz val="11"/>
      <color rgb="FFFFFFFF"/>
      <name val="Arial"/>
    </font>
    <font>
      <sz val="10"/>
      <name val="Arial"/>
    </font>
    <font>
      <b/>
      <sz val="13"/>
      <color rgb="FF0C447C"/>
      <name val="Arial"/>
    </font>
    <font>
      <b/>
      <sz val="10"/>
      <color rgb="FFFFFFFF"/>
      <name val="Arial"/>
    </font>
    <font>
      <b/>
      <sz val="12"/>
      <color theme="1"/>
      <name val="Calibri"/>
      <family val="2"/>
      <scheme val="minor"/>
    </font>
    <font>
      <b/>
      <sz val="16"/>
      <color theme="1"/>
      <name val="Calibri"/>
      <family val="2"/>
      <scheme val="minor"/>
    </font>
    <font>
      <b/>
      <sz val="11"/>
      <color theme="1"/>
      <name val="Times New Roman"/>
      <family val="1"/>
    </font>
    <font>
      <b/>
      <sz val="12"/>
      <color theme="1"/>
      <name val="Times New Roman"/>
      <family val="1"/>
    </font>
    <font>
      <i/>
      <sz val="11"/>
      <color theme="1"/>
      <name val="Calibri"/>
      <family val="2"/>
      <scheme val="minor"/>
    </font>
    <font>
      <b/>
      <sz val="14"/>
      <color rgb="FF595959"/>
      <name val="Times New Roman"/>
      <family val="1"/>
    </font>
  </fonts>
  <fills count="9">
    <fill>
      <patternFill patternType="none"/>
    </fill>
    <fill>
      <patternFill patternType="gray125"/>
    </fill>
    <fill>
      <patternFill patternType="solid">
        <fgColor rgb="FF0C447C"/>
        <bgColor rgb="FF0C447C"/>
      </patternFill>
    </fill>
    <fill>
      <patternFill patternType="solid">
        <fgColor rgb="FFF0F4FA"/>
        <bgColor rgb="FFF0F4FA"/>
      </patternFill>
    </fill>
    <fill>
      <patternFill patternType="solid">
        <fgColor rgb="FF185FA5"/>
        <bgColor rgb="FF185FA5"/>
      </patternFill>
    </fill>
    <fill>
      <patternFill patternType="solid">
        <fgColor rgb="FFEEF3FA"/>
        <bgColor rgb="FFEEF3FA"/>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2" borderId="0" xfId="0" applyFont="1" applyFill="1" applyAlignment="1">
      <alignment horizontal="center" vertical="center" wrapText="1"/>
    </xf>
    <xf numFmtId="0" fontId="2" fillId="3" borderId="0" xfId="0" applyFont="1" applyFill="1"/>
    <xf numFmtId="164" fontId="2" fillId="3" borderId="0" xfId="0" applyNumberFormat="1" applyFont="1" applyFill="1"/>
    <xf numFmtId="0" fontId="2" fillId="0" borderId="0" xfId="0" applyFont="1"/>
    <xf numFmtId="164" fontId="2" fillId="0" borderId="0" xfId="0" applyNumberFormat="1" applyFont="1"/>
    <xf numFmtId="0" fontId="3" fillId="0" borderId="0" xfId="0" applyFont="1"/>
    <xf numFmtId="0" fontId="4" fillId="4" borderId="0" xfId="0" applyFont="1" applyFill="1" applyAlignment="1">
      <alignment horizontal="center"/>
    </xf>
    <xf numFmtId="0" fontId="2" fillId="5" borderId="0" xfId="0" applyFont="1" applyFill="1"/>
    <xf numFmtId="165" fontId="0" fillId="0" borderId="0" xfId="0" applyNumberFormat="1"/>
    <xf numFmtId="166" fontId="0" fillId="0" borderId="0" xfId="0" applyNumberFormat="1"/>
    <xf numFmtId="0" fontId="5" fillId="0" borderId="0" xfId="0" applyFont="1"/>
    <xf numFmtId="166" fontId="5" fillId="0" borderId="0" xfId="0" applyNumberFormat="1" applyFont="1"/>
    <xf numFmtId="0" fontId="0" fillId="0" borderId="1" xfId="0" pivotButton="1" applyBorder="1"/>
    <xf numFmtId="0" fontId="0" fillId="0" borderId="1" xfId="0" applyBorder="1"/>
    <xf numFmtId="0" fontId="0" fillId="0" borderId="1" xfId="0" applyBorder="1" applyAlignment="1">
      <alignment horizontal="left"/>
    </xf>
    <xf numFmtId="167" fontId="0" fillId="0" borderId="1" xfId="0" applyNumberFormat="1" applyBorder="1"/>
    <xf numFmtId="167" fontId="0" fillId="0" borderId="0" xfId="0" applyNumberFormat="1"/>
    <xf numFmtId="0" fontId="0" fillId="0" borderId="0" xfId="0" applyAlignment="1">
      <alignment horizontal="left"/>
    </xf>
    <xf numFmtId="0" fontId="0" fillId="6" borderId="0" xfId="0" applyFill="1"/>
    <xf numFmtId="0" fontId="0" fillId="6" borderId="1" xfId="0" applyFill="1" applyBorder="1" applyAlignment="1">
      <alignment horizontal="left"/>
    </xf>
    <xf numFmtId="0" fontId="0" fillId="8" borderId="0" xfId="0" applyFill="1"/>
    <xf numFmtId="0" fontId="0" fillId="6" borderId="9" xfId="0" applyFill="1" applyBorder="1" applyAlignment="1">
      <alignment horizontal="left"/>
    </xf>
    <xf numFmtId="168" fontId="0" fillId="0" borderId="1" xfId="0" applyNumberFormat="1" applyBorder="1"/>
    <xf numFmtId="0" fontId="9" fillId="6" borderId="0" xfId="0" applyFont="1" applyFill="1"/>
    <xf numFmtId="167" fontId="0" fillId="6" borderId="9" xfId="0" applyNumberFormat="1" applyFill="1" applyBorder="1" applyAlignment="1">
      <alignment horizontal="left"/>
    </xf>
    <xf numFmtId="167" fontId="0" fillId="6" borderId="1" xfId="0" applyNumberFormat="1" applyFill="1" applyBorder="1" applyAlignment="1">
      <alignment horizontal="left"/>
    </xf>
    <xf numFmtId="0" fontId="10" fillId="0" borderId="0" xfId="0" applyFont="1" applyAlignment="1">
      <alignment horizontal="center" vertical="center" readingOrder="1"/>
    </xf>
    <xf numFmtId="0" fontId="5" fillId="0" borderId="0" xfId="0" applyFont="1" applyAlignment="1">
      <alignment horizontal="center"/>
    </xf>
    <xf numFmtId="0" fontId="6" fillId="7" borderId="4" xfId="0" applyFont="1" applyFill="1" applyBorder="1" applyAlignment="1">
      <alignment horizontal="center"/>
    </xf>
    <xf numFmtId="0" fontId="6" fillId="7" borderId="6" xfId="0" applyFont="1" applyFill="1" applyBorder="1" applyAlignment="1">
      <alignment horizontal="center"/>
    </xf>
    <xf numFmtId="0" fontId="5" fillId="6" borderId="2" xfId="0" applyFont="1" applyFill="1" applyBorder="1" applyAlignment="1">
      <alignment horizontal="center"/>
    </xf>
    <xf numFmtId="0" fontId="5" fillId="6" borderId="3" xfId="0" applyFont="1" applyFill="1" applyBorder="1" applyAlignment="1">
      <alignment horizontal="center"/>
    </xf>
    <xf numFmtId="167" fontId="6" fillId="7" borderId="4" xfId="0" applyNumberFormat="1" applyFont="1" applyFill="1" applyBorder="1" applyAlignment="1">
      <alignment horizontal="center"/>
    </xf>
    <xf numFmtId="167" fontId="6" fillId="7" borderId="5" xfId="0" applyNumberFormat="1" applyFont="1" applyFill="1" applyBorder="1" applyAlignment="1">
      <alignment horizontal="center"/>
    </xf>
    <xf numFmtId="167" fontId="6" fillId="7" borderId="6" xfId="0" applyNumberFormat="1" applyFont="1" applyFill="1" applyBorder="1" applyAlignment="1">
      <alignment horizontal="center"/>
    </xf>
    <xf numFmtId="0" fontId="7" fillId="7" borderId="7" xfId="0" applyFont="1" applyFill="1" applyBorder="1" applyAlignment="1">
      <alignment horizontal="center"/>
    </xf>
    <xf numFmtId="0" fontId="7" fillId="7" borderId="2" xfId="0" applyFont="1" applyFill="1" applyBorder="1" applyAlignment="1">
      <alignment horizontal="center"/>
    </xf>
    <xf numFmtId="0" fontId="7" fillId="7" borderId="8" xfId="0" applyFont="1" applyFill="1" applyBorder="1" applyAlignment="1">
      <alignment horizontal="center"/>
    </xf>
    <xf numFmtId="166" fontId="6" fillId="7" borderId="4" xfId="0" applyNumberFormat="1" applyFont="1" applyFill="1" applyBorder="1" applyAlignment="1">
      <alignment horizontal="center"/>
    </xf>
    <xf numFmtId="166" fontId="6" fillId="7" borderId="5" xfId="0" applyNumberFormat="1" applyFont="1" applyFill="1" applyBorder="1" applyAlignment="1">
      <alignment horizontal="center"/>
    </xf>
    <xf numFmtId="166" fontId="6" fillId="7" borderId="6" xfId="0" applyNumberFormat="1" applyFont="1" applyFill="1" applyBorder="1" applyAlignment="1">
      <alignment horizontal="center"/>
    </xf>
    <xf numFmtId="0" fontId="8" fillId="7" borderId="7" xfId="0" applyFont="1" applyFill="1" applyBorder="1" applyAlignment="1">
      <alignment horizontal="center" wrapText="1"/>
    </xf>
    <xf numFmtId="0" fontId="8" fillId="7" borderId="2" xfId="0" applyFont="1" applyFill="1" applyBorder="1" applyAlignment="1">
      <alignment horizontal="center" wrapText="1"/>
    </xf>
    <xf numFmtId="0" fontId="8" fillId="7" borderId="8" xfId="0" applyFont="1" applyFill="1" applyBorder="1" applyAlignment="1">
      <alignment horizontal="center" wrapText="1"/>
    </xf>
    <xf numFmtId="0" fontId="8" fillId="7" borderId="7" xfId="0" applyFont="1" applyFill="1" applyBorder="1" applyAlignment="1">
      <alignment horizontal="center"/>
    </xf>
    <xf numFmtId="0" fontId="8" fillId="7" borderId="8" xfId="0" applyFont="1" applyFill="1" applyBorder="1" applyAlignment="1">
      <alignment horizontal="center"/>
    </xf>
  </cellXfs>
  <cellStyles count="1">
    <cellStyle name="Normal" xfId="0" builtinId="0"/>
  </cellStyles>
  <dxfs count="30">
    <dxf>
      <numFmt numFmtId="166" formatCode="[$₦-466]\ #,##0.00"/>
    </dxf>
    <dxf>
      <numFmt numFmtId="0" formatCode="General"/>
    </dxf>
    <dxf>
      <numFmt numFmtId="166" formatCode="[$₦-466]\ #,##0.00"/>
    </dxf>
    <dxf>
      <numFmt numFmtId="166" formatCode="[$₦-466]\ #,##0.00"/>
    </dxf>
    <dxf>
      <numFmt numFmtId="166" formatCode="[$₦-466]\ #,##0.00"/>
    </dxf>
    <dxf>
      <numFmt numFmtId="165" formatCode="dd/mm/yyyy;@"/>
    </dxf>
    <dxf>
      <font>
        <b/>
        <i val="0"/>
        <strike val="0"/>
        <condense val="0"/>
        <extend val="0"/>
        <outline val="0"/>
        <shadow val="0"/>
        <u val="none"/>
        <vertAlign val="baseline"/>
        <sz val="12"/>
        <color theme="1"/>
        <name val="Calibri"/>
        <family val="2"/>
        <scheme val="minor"/>
      </font>
    </dxf>
    <dxf>
      <numFmt numFmtId="167" formatCode="[$₦-466]\ #,##0"/>
    </dxf>
    <dxf>
      <numFmt numFmtId="167" formatCode="[$₦-466]\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66]\ #,##0"/>
    </dxf>
    <dxf>
      <numFmt numFmtId="167" formatCode="[$₦-466]\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466]\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9" defaultPivotStyle="PivotStyleLight16">
    <tableStyle name="Invisible" pivot="0" table="0" count="0" xr9:uid="{8BD77117-0F7E-42CA-92DD-A1394066CC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Table'!$B$8</c:f>
              <c:strCache>
                <c:ptCount val="1"/>
                <c:pt idx="0">
                  <c:v>Total</c:v>
                </c:pt>
              </c:strCache>
            </c:strRef>
          </c:tx>
          <c:spPr>
            <a:solidFill>
              <a:schemeClr val="accent1"/>
            </a:solidFill>
            <a:ln>
              <a:noFill/>
            </a:ln>
            <a:effectLst/>
            <a:sp3d/>
          </c:spPr>
          <c:invertIfNegative val="0"/>
          <c:cat>
            <c:strRef>
              <c:f>'Pivot Table'!$A$9:$A$13</c:f>
              <c:strCache>
                <c:ptCount val="4"/>
                <c:pt idx="0">
                  <c:v>FMCG</c:v>
                </c:pt>
                <c:pt idx="1">
                  <c:v>Household</c:v>
                </c:pt>
                <c:pt idx="2">
                  <c:v>Personal Care</c:v>
                </c:pt>
                <c:pt idx="3">
                  <c:v>Unknown</c:v>
                </c:pt>
              </c:strCache>
            </c:strRef>
          </c:cat>
          <c:val>
            <c:numRef>
              <c:f>'Pivot Table'!$B$9:$B$13</c:f>
              <c:numCache>
                <c:formatCode>[$₦-466]\ #,##0</c:formatCode>
                <c:ptCount val="4"/>
                <c:pt idx="0">
                  <c:v>15994850</c:v>
                </c:pt>
                <c:pt idx="1">
                  <c:v>15582500</c:v>
                </c:pt>
                <c:pt idx="2">
                  <c:v>25367150</c:v>
                </c:pt>
                <c:pt idx="3">
                  <c:v>1369900</c:v>
                </c:pt>
              </c:numCache>
            </c:numRef>
          </c:val>
          <c:extLst>
            <c:ext xmlns:c16="http://schemas.microsoft.com/office/drawing/2014/chart" uri="{C3380CC4-5D6E-409C-BE32-E72D297353CC}">
              <c16:uniqueId val="{00000000-27D2-4046-97D0-E36D8BE464C6}"/>
            </c:ext>
          </c:extLst>
        </c:ser>
        <c:dLbls>
          <c:showLegendKey val="0"/>
          <c:showVal val="0"/>
          <c:showCatName val="0"/>
          <c:showSerName val="0"/>
          <c:showPercent val="0"/>
          <c:showBubbleSize val="0"/>
        </c:dLbls>
        <c:gapWidth val="150"/>
        <c:shape val="box"/>
        <c:axId val="748384416"/>
        <c:axId val="748403136"/>
        <c:axId val="0"/>
      </c:bar3DChart>
      <c:catAx>
        <c:axId val="74838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03136"/>
        <c:crosses val="autoZero"/>
        <c:auto val="1"/>
        <c:lblAlgn val="ctr"/>
        <c:lblOffset val="100"/>
        <c:noMultiLvlLbl val="0"/>
      </c:catAx>
      <c:valAx>
        <c:axId val="74840313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Table'!$E$8</c:f>
              <c:strCache>
                <c:ptCount val="1"/>
                <c:pt idx="0">
                  <c:v>Total</c:v>
                </c:pt>
              </c:strCache>
            </c:strRef>
          </c:tx>
          <c:spPr>
            <a:solidFill>
              <a:schemeClr val="accent1"/>
            </a:solidFill>
            <a:ln>
              <a:noFill/>
            </a:ln>
            <a:effectLst/>
            <a:sp3d/>
          </c:spPr>
          <c:invertIfNegative val="0"/>
          <c:cat>
            <c:strRef>
              <c:f>'Pivot Table'!$D$9:$D$15</c:f>
              <c:strCache>
                <c:ptCount val="6"/>
                <c:pt idx="0">
                  <c:v>Abuja</c:v>
                </c:pt>
                <c:pt idx="1">
                  <c:v>Enugu</c:v>
                </c:pt>
                <c:pt idx="2">
                  <c:v>Ibadan</c:v>
                </c:pt>
                <c:pt idx="3">
                  <c:v>Kano</c:v>
                </c:pt>
                <c:pt idx="4">
                  <c:v>Lagos</c:v>
                </c:pt>
                <c:pt idx="5">
                  <c:v>Portharcourt</c:v>
                </c:pt>
              </c:strCache>
            </c:strRef>
          </c:cat>
          <c:val>
            <c:numRef>
              <c:f>'Pivot Table'!$E$9:$E$15</c:f>
              <c:numCache>
                <c:formatCode>[$₦-466]\ #,##0</c:formatCode>
                <c:ptCount val="6"/>
                <c:pt idx="0">
                  <c:v>10411300</c:v>
                </c:pt>
                <c:pt idx="1">
                  <c:v>9169650</c:v>
                </c:pt>
                <c:pt idx="2">
                  <c:v>7342550</c:v>
                </c:pt>
                <c:pt idx="3">
                  <c:v>7407500</c:v>
                </c:pt>
                <c:pt idx="4">
                  <c:v>11106250</c:v>
                </c:pt>
                <c:pt idx="5">
                  <c:v>12877150</c:v>
                </c:pt>
              </c:numCache>
            </c:numRef>
          </c:val>
          <c:extLst>
            <c:ext xmlns:c16="http://schemas.microsoft.com/office/drawing/2014/chart" uri="{C3380CC4-5D6E-409C-BE32-E72D297353CC}">
              <c16:uniqueId val="{00000000-D3DF-4ED8-8E84-983FDAE6D194}"/>
            </c:ext>
          </c:extLst>
        </c:ser>
        <c:dLbls>
          <c:showLegendKey val="0"/>
          <c:showVal val="0"/>
          <c:showCatName val="0"/>
          <c:showSerName val="0"/>
          <c:showPercent val="0"/>
          <c:showBubbleSize val="0"/>
        </c:dLbls>
        <c:gapWidth val="150"/>
        <c:shape val="box"/>
        <c:axId val="1083314896"/>
        <c:axId val="1083309616"/>
        <c:axId val="0"/>
      </c:bar3DChart>
      <c:catAx>
        <c:axId val="108331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09616"/>
        <c:crosses val="autoZero"/>
        <c:auto val="1"/>
        <c:lblAlgn val="ctr"/>
        <c:lblOffset val="100"/>
        <c:noMultiLvlLbl val="0"/>
      </c:catAx>
      <c:valAx>
        <c:axId val="1083309616"/>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none"/>
          </c:marker>
          <c:cat>
            <c:strRef>
              <c:f>'Pivot 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Table'!$B$20:$B$32</c:f>
              <c:numCache>
                <c:formatCode>[$₦-466]\ #,##0</c:formatCode>
                <c:ptCount val="12"/>
                <c:pt idx="0">
                  <c:v>3454250</c:v>
                </c:pt>
                <c:pt idx="1">
                  <c:v>4166450</c:v>
                </c:pt>
                <c:pt idx="2">
                  <c:v>4180250</c:v>
                </c:pt>
                <c:pt idx="3">
                  <c:v>5350600</c:v>
                </c:pt>
                <c:pt idx="4">
                  <c:v>5732000</c:v>
                </c:pt>
                <c:pt idx="5">
                  <c:v>6571300</c:v>
                </c:pt>
                <c:pt idx="6">
                  <c:v>3458250</c:v>
                </c:pt>
                <c:pt idx="7">
                  <c:v>4928600</c:v>
                </c:pt>
                <c:pt idx="8">
                  <c:v>5690800</c:v>
                </c:pt>
                <c:pt idx="9">
                  <c:v>6859150</c:v>
                </c:pt>
                <c:pt idx="10">
                  <c:v>4223800</c:v>
                </c:pt>
                <c:pt idx="11">
                  <c:v>3698950</c:v>
                </c:pt>
              </c:numCache>
            </c:numRef>
          </c:val>
          <c:smooth val="0"/>
          <c:extLst>
            <c:ext xmlns:c16="http://schemas.microsoft.com/office/drawing/2014/chart" uri="{C3380CC4-5D6E-409C-BE32-E72D297353CC}">
              <c16:uniqueId val="{00000000-48F5-40ED-8B0D-4D49693C8637}"/>
            </c:ext>
          </c:extLst>
        </c:ser>
        <c:dLbls>
          <c:showLegendKey val="0"/>
          <c:showVal val="0"/>
          <c:showCatName val="0"/>
          <c:showSerName val="0"/>
          <c:showPercent val="0"/>
          <c:showBubbleSize val="0"/>
        </c:dLbls>
        <c:smooth val="0"/>
        <c:axId val="745427856"/>
        <c:axId val="745427376"/>
      </c:lineChart>
      <c:catAx>
        <c:axId val="7454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7376"/>
        <c:crosses val="autoZero"/>
        <c:auto val="1"/>
        <c:lblAlgn val="ctr"/>
        <c:lblOffset val="100"/>
        <c:noMultiLvlLbl val="0"/>
      </c:catAx>
      <c:valAx>
        <c:axId val="74542737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Table!PivotTable25</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 BY PRODUCT CATEGORY</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6530462239707"/>
          <c:y val="0.17339095187285547"/>
          <c:w val="0.77803308597620624"/>
          <c:h val="0.63266035535037646"/>
        </c:manualLayout>
      </c:layout>
      <c:bar3DChart>
        <c:barDir val="col"/>
        <c:grouping val="clustered"/>
        <c:varyColors val="0"/>
        <c:ser>
          <c:idx val="0"/>
          <c:order val="0"/>
          <c:tx>
            <c:strRef>
              <c:f>'Pivot Table'!$B$8</c:f>
              <c:strCache>
                <c:ptCount val="1"/>
                <c:pt idx="0">
                  <c:v>Total</c:v>
                </c:pt>
              </c:strCache>
            </c:strRef>
          </c:tx>
          <c:spPr>
            <a:solidFill>
              <a:schemeClr val="accent1"/>
            </a:solidFill>
            <a:ln>
              <a:noFill/>
            </a:ln>
            <a:effectLst/>
            <a:sp3d/>
          </c:spPr>
          <c:invertIfNegative val="0"/>
          <c:cat>
            <c:strRef>
              <c:f>'Pivot Table'!$A$9:$A$13</c:f>
              <c:strCache>
                <c:ptCount val="4"/>
                <c:pt idx="0">
                  <c:v>FMCG</c:v>
                </c:pt>
                <c:pt idx="1">
                  <c:v>Household</c:v>
                </c:pt>
                <c:pt idx="2">
                  <c:v>Personal Care</c:v>
                </c:pt>
                <c:pt idx="3">
                  <c:v>Unknown</c:v>
                </c:pt>
              </c:strCache>
            </c:strRef>
          </c:cat>
          <c:val>
            <c:numRef>
              <c:f>'Pivot Table'!$B$9:$B$13</c:f>
              <c:numCache>
                <c:formatCode>[$₦-466]\ #,##0</c:formatCode>
                <c:ptCount val="4"/>
                <c:pt idx="0">
                  <c:v>15994850</c:v>
                </c:pt>
                <c:pt idx="1">
                  <c:v>15582500</c:v>
                </c:pt>
                <c:pt idx="2">
                  <c:v>25367150</c:v>
                </c:pt>
                <c:pt idx="3">
                  <c:v>1369900</c:v>
                </c:pt>
              </c:numCache>
            </c:numRef>
          </c:val>
          <c:extLst>
            <c:ext xmlns:c16="http://schemas.microsoft.com/office/drawing/2014/chart" uri="{C3380CC4-5D6E-409C-BE32-E72D297353CC}">
              <c16:uniqueId val="{00000000-2DBD-4653-89AA-4317205C16B9}"/>
            </c:ext>
          </c:extLst>
        </c:ser>
        <c:dLbls>
          <c:showLegendKey val="0"/>
          <c:showVal val="0"/>
          <c:showCatName val="0"/>
          <c:showSerName val="0"/>
          <c:showPercent val="0"/>
          <c:showBubbleSize val="0"/>
        </c:dLbls>
        <c:gapWidth val="150"/>
        <c:shape val="box"/>
        <c:axId val="748384416"/>
        <c:axId val="748403136"/>
        <c:axId val="0"/>
      </c:bar3DChart>
      <c:catAx>
        <c:axId val="74838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03136"/>
        <c:crosses val="autoZero"/>
        <c:auto val="1"/>
        <c:lblAlgn val="ctr"/>
        <c:lblOffset val="100"/>
        <c:noMultiLvlLbl val="0"/>
      </c:catAx>
      <c:valAx>
        <c:axId val="74840313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BY</a:t>
            </a:r>
            <a:r>
              <a:rPr lang="en-US">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REGION</a:t>
            </a:r>
          </a:p>
        </c:rich>
      </c:tx>
      <c:layout>
        <c:manualLayout>
          <c:xMode val="edge"/>
          <c:yMode val="edge"/>
          <c:x val="0.32905479327578369"/>
          <c:y val="3.6996038219529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59476842185159"/>
          <c:y val="0.15166928118164702"/>
          <c:w val="0.68487436051952078"/>
          <c:h val="0.69595026887351374"/>
        </c:manualLayout>
      </c:layout>
      <c:bar3DChart>
        <c:barDir val="bar"/>
        <c:grouping val="clustered"/>
        <c:varyColors val="0"/>
        <c:ser>
          <c:idx val="0"/>
          <c:order val="0"/>
          <c:tx>
            <c:strRef>
              <c:f>'Pivot Table'!$E$8</c:f>
              <c:strCache>
                <c:ptCount val="1"/>
                <c:pt idx="0">
                  <c:v>Total</c:v>
                </c:pt>
              </c:strCache>
            </c:strRef>
          </c:tx>
          <c:spPr>
            <a:solidFill>
              <a:schemeClr val="accent1"/>
            </a:solidFill>
            <a:ln>
              <a:noFill/>
            </a:ln>
            <a:effectLst/>
            <a:sp3d/>
          </c:spPr>
          <c:invertIfNegative val="0"/>
          <c:cat>
            <c:strRef>
              <c:f>'Pivot Table'!$D$9:$D$15</c:f>
              <c:strCache>
                <c:ptCount val="6"/>
                <c:pt idx="0">
                  <c:v>Abuja</c:v>
                </c:pt>
                <c:pt idx="1">
                  <c:v>Enugu</c:v>
                </c:pt>
                <c:pt idx="2">
                  <c:v>Ibadan</c:v>
                </c:pt>
                <c:pt idx="3">
                  <c:v>Kano</c:v>
                </c:pt>
                <c:pt idx="4">
                  <c:v>Lagos</c:v>
                </c:pt>
                <c:pt idx="5">
                  <c:v>Portharcourt</c:v>
                </c:pt>
              </c:strCache>
            </c:strRef>
          </c:cat>
          <c:val>
            <c:numRef>
              <c:f>'Pivot Table'!$E$9:$E$15</c:f>
              <c:numCache>
                <c:formatCode>[$₦-466]\ #,##0</c:formatCode>
                <c:ptCount val="6"/>
                <c:pt idx="0">
                  <c:v>10411300</c:v>
                </c:pt>
                <c:pt idx="1">
                  <c:v>9169650</c:v>
                </c:pt>
                <c:pt idx="2">
                  <c:v>7342550</c:v>
                </c:pt>
                <c:pt idx="3">
                  <c:v>7407500</c:v>
                </c:pt>
                <c:pt idx="4">
                  <c:v>11106250</c:v>
                </c:pt>
                <c:pt idx="5">
                  <c:v>12877150</c:v>
                </c:pt>
              </c:numCache>
            </c:numRef>
          </c:val>
          <c:extLst>
            <c:ext xmlns:c16="http://schemas.microsoft.com/office/drawing/2014/chart" uri="{C3380CC4-5D6E-409C-BE32-E72D297353CC}">
              <c16:uniqueId val="{00000000-338D-4298-82A5-39E2E4675D8A}"/>
            </c:ext>
          </c:extLst>
        </c:ser>
        <c:dLbls>
          <c:showLegendKey val="0"/>
          <c:showVal val="0"/>
          <c:showCatName val="0"/>
          <c:showSerName val="0"/>
          <c:showPercent val="0"/>
          <c:showBubbleSize val="0"/>
        </c:dLbls>
        <c:gapWidth val="150"/>
        <c:shape val="box"/>
        <c:axId val="1083314896"/>
        <c:axId val="1083309616"/>
        <c:axId val="0"/>
      </c:bar3DChart>
      <c:catAx>
        <c:axId val="108331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09616"/>
        <c:crosses val="autoZero"/>
        <c:auto val="1"/>
        <c:lblAlgn val="ctr"/>
        <c:lblOffset val="100"/>
        <c:noMultiLvlLbl val="0"/>
      </c:catAx>
      <c:valAx>
        <c:axId val="1083309616"/>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SALES</a:t>
            </a:r>
            <a:r>
              <a:rPr lang="en-US" sz="1400" b="1" baseline="0">
                <a:latin typeface="Times New Roman" panose="02020603050405020304" pitchFamily="18" charset="0"/>
                <a:cs typeface="Times New Roman" panose="02020603050405020304" pitchFamily="18" charset="0"/>
              </a:rPr>
              <a:t> OVER TIME</a:t>
            </a:r>
            <a:endParaRPr lang="en-US"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none"/>
          </c:marker>
          <c:cat>
            <c:strRef>
              <c:f>'Pivot 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Table'!$B$20:$B$32</c:f>
              <c:numCache>
                <c:formatCode>[$₦-466]\ #,##0</c:formatCode>
                <c:ptCount val="12"/>
                <c:pt idx="0">
                  <c:v>3454250</c:v>
                </c:pt>
                <c:pt idx="1">
                  <c:v>4166450</c:v>
                </c:pt>
                <c:pt idx="2">
                  <c:v>4180250</c:v>
                </c:pt>
                <c:pt idx="3">
                  <c:v>5350600</c:v>
                </c:pt>
                <c:pt idx="4">
                  <c:v>5732000</c:v>
                </c:pt>
                <c:pt idx="5">
                  <c:v>6571300</c:v>
                </c:pt>
                <c:pt idx="6">
                  <c:v>3458250</c:v>
                </c:pt>
                <c:pt idx="7">
                  <c:v>4928600</c:v>
                </c:pt>
                <c:pt idx="8">
                  <c:v>5690800</c:v>
                </c:pt>
                <c:pt idx="9">
                  <c:v>6859150</c:v>
                </c:pt>
                <c:pt idx="10">
                  <c:v>4223800</c:v>
                </c:pt>
                <c:pt idx="11">
                  <c:v>3698950</c:v>
                </c:pt>
              </c:numCache>
            </c:numRef>
          </c:val>
          <c:smooth val="0"/>
          <c:extLst>
            <c:ext xmlns:c16="http://schemas.microsoft.com/office/drawing/2014/chart" uri="{C3380CC4-5D6E-409C-BE32-E72D297353CC}">
              <c16:uniqueId val="{00000000-F72A-4FA9-9082-E6C4556611C2}"/>
            </c:ext>
          </c:extLst>
        </c:ser>
        <c:dLbls>
          <c:showLegendKey val="0"/>
          <c:showVal val="0"/>
          <c:showCatName val="0"/>
          <c:showSerName val="0"/>
          <c:showPercent val="0"/>
          <c:showBubbleSize val="0"/>
        </c:dLbls>
        <c:smooth val="0"/>
        <c:axId val="745427856"/>
        <c:axId val="745427376"/>
      </c:lineChart>
      <c:catAx>
        <c:axId val="7454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7376"/>
        <c:crosses val="autoZero"/>
        <c:auto val="1"/>
        <c:lblAlgn val="ctr"/>
        <c:lblOffset val="100"/>
        <c:noMultiLvlLbl val="0"/>
      </c:catAx>
      <c:valAx>
        <c:axId val="74542737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Table!PivotTable25</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6530462239707"/>
          <c:y val="0.17339095187285547"/>
          <c:w val="0.77217853238251166"/>
          <c:h val="0.63266035535037646"/>
        </c:manualLayout>
      </c:layout>
      <c:bar3DChart>
        <c:barDir val="col"/>
        <c:grouping val="clustered"/>
        <c:varyColors val="0"/>
        <c:ser>
          <c:idx val="0"/>
          <c:order val="0"/>
          <c:tx>
            <c:strRef>
              <c:f>'Pivot Table'!$B$8</c:f>
              <c:strCache>
                <c:ptCount val="1"/>
                <c:pt idx="0">
                  <c:v>Total</c:v>
                </c:pt>
              </c:strCache>
            </c:strRef>
          </c:tx>
          <c:spPr>
            <a:solidFill>
              <a:schemeClr val="accent1"/>
            </a:solidFill>
            <a:ln>
              <a:noFill/>
            </a:ln>
            <a:effectLst/>
            <a:sp3d/>
          </c:spPr>
          <c:invertIfNegative val="0"/>
          <c:cat>
            <c:strRef>
              <c:f>'Pivot Table'!$A$9:$A$13</c:f>
              <c:strCache>
                <c:ptCount val="4"/>
                <c:pt idx="0">
                  <c:v>FMCG</c:v>
                </c:pt>
                <c:pt idx="1">
                  <c:v>Household</c:v>
                </c:pt>
                <c:pt idx="2">
                  <c:v>Personal Care</c:v>
                </c:pt>
                <c:pt idx="3">
                  <c:v>Unknown</c:v>
                </c:pt>
              </c:strCache>
            </c:strRef>
          </c:cat>
          <c:val>
            <c:numRef>
              <c:f>'Pivot Table'!$B$9:$B$13</c:f>
              <c:numCache>
                <c:formatCode>[$₦-466]\ #,##0</c:formatCode>
                <c:ptCount val="4"/>
                <c:pt idx="0">
                  <c:v>15994850</c:v>
                </c:pt>
                <c:pt idx="1">
                  <c:v>15582500</c:v>
                </c:pt>
                <c:pt idx="2">
                  <c:v>25367150</c:v>
                </c:pt>
                <c:pt idx="3">
                  <c:v>1369900</c:v>
                </c:pt>
              </c:numCache>
            </c:numRef>
          </c:val>
          <c:extLst>
            <c:ext xmlns:c16="http://schemas.microsoft.com/office/drawing/2014/chart" uri="{C3380CC4-5D6E-409C-BE32-E72D297353CC}">
              <c16:uniqueId val="{00000000-4A92-4B34-B1E2-727E0BC8BC2A}"/>
            </c:ext>
          </c:extLst>
        </c:ser>
        <c:dLbls>
          <c:showLegendKey val="0"/>
          <c:showVal val="0"/>
          <c:showCatName val="0"/>
          <c:showSerName val="0"/>
          <c:showPercent val="0"/>
          <c:showBubbleSize val="0"/>
        </c:dLbls>
        <c:gapWidth val="150"/>
        <c:shape val="box"/>
        <c:axId val="748384416"/>
        <c:axId val="748403136"/>
        <c:axId val="0"/>
      </c:bar3DChart>
      <c:catAx>
        <c:axId val="74838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8403136"/>
        <c:crosses val="autoZero"/>
        <c:auto val="1"/>
        <c:lblAlgn val="ctr"/>
        <c:lblOffset val="100"/>
        <c:noMultiLvlLbl val="0"/>
      </c:catAx>
      <c:valAx>
        <c:axId val="74840313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838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Table!PivotTable27</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59476842185159"/>
          <c:y val="0.12310114703508206"/>
          <c:w val="0.68487436051952078"/>
          <c:h val="0.72451835931574304"/>
        </c:manualLayout>
      </c:layout>
      <c:bar3DChart>
        <c:barDir val="bar"/>
        <c:grouping val="clustered"/>
        <c:varyColors val="0"/>
        <c:ser>
          <c:idx val="0"/>
          <c:order val="0"/>
          <c:tx>
            <c:strRef>
              <c:f>'Pivot Table'!$E$8</c:f>
              <c:strCache>
                <c:ptCount val="1"/>
                <c:pt idx="0">
                  <c:v>Total</c:v>
                </c:pt>
              </c:strCache>
            </c:strRef>
          </c:tx>
          <c:spPr>
            <a:solidFill>
              <a:schemeClr val="accent1"/>
            </a:solidFill>
            <a:ln>
              <a:noFill/>
            </a:ln>
            <a:effectLst/>
            <a:sp3d/>
          </c:spPr>
          <c:invertIfNegative val="0"/>
          <c:cat>
            <c:strRef>
              <c:f>'Pivot Table'!$D$9:$D$15</c:f>
              <c:strCache>
                <c:ptCount val="6"/>
                <c:pt idx="0">
                  <c:v>Abuja</c:v>
                </c:pt>
                <c:pt idx="1">
                  <c:v>Enugu</c:v>
                </c:pt>
                <c:pt idx="2">
                  <c:v>Ibadan</c:v>
                </c:pt>
                <c:pt idx="3">
                  <c:v>Kano</c:v>
                </c:pt>
                <c:pt idx="4">
                  <c:v>Lagos</c:v>
                </c:pt>
                <c:pt idx="5">
                  <c:v>Portharcourt</c:v>
                </c:pt>
              </c:strCache>
            </c:strRef>
          </c:cat>
          <c:val>
            <c:numRef>
              <c:f>'Pivot Table'!$E$9:$E$15</c:f>
              <c:numCache>
                <c:formatCode>[$₦-466]\ #,##0</c:formatCode>
                <c:ptCount val="6"/>
                <c:pt idx="0">
                  <c:v>10411300</c:v>
                </c:pt>
                <c:pt idx="1">
                  <c:v>9169650</c:v>
                </c:pt>
                <c:pt idx="2">
                  <c:v>7342550</c:v>
                </c:pt>
                <c:pt idx="3">
                  <c:v>7407500</c:v>
                </c:pt>
                <c:pt idx="4">
                  <c:v>11106250</c:v>
                </c:pt>
                <c:pt idx="5">
                  <c:v>12877150</c:v>
                </c:pt>
              </c:numCache>
            </c:numRef>
          </c:val>
          <c:extLst>
            <c:ext xmlns:c16="http://schemas.microsoft.com/office/drawing/2014/chart" uri="{C3380CC4-5D6E-409C-BE32-E72D297353CC}">
              <c16:uniqueId val="{00000000-6446-4873-B256-90FC167CDA98}"/>
            </c:ext>
          </c:extLst>
        </c:ser>
        <c:dLbls>
          <c:showLegendKey val="0"/>
          <c:showVal val="0"/>
          <c:showCatName val="0"/>
          <c:showSerName val="0"/>
          <c:showPercent val="0"/>
          <c:showBubbleSize val="0"/>
        </c:dLbls>
        <c:gapWidth val="150"/>
        <c:shape val="box"/>
        <c:axId val="1083314896"/>
        <c:axId val="1083309616"/>
        <c:axId val="0"/>
      </c:bar3DChart>
      <c:catAx>
        <c:axId val="108331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309616"/>
        <c:crosses val="autoZero"/>
        <c:auto val="1"/>
        <c:lblAlgn val="ctr"/>
        <c:lblOffset val="100"/>
        <c:noMultiLvlLbl val="0"/>
      </c:catAx>
      <c:valAx>
        <c:axId val="1083309616"/>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3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[Vantara_Sales_Data_2024 Clean2.xlsx]Pivot Table!PivotTable15</c:name>
    <c:fmtId val="1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6114017681999"/>
          <c:y val="8.4848511842364388E-2"/>
          <c:w val="0.83197401184663022"/>
          <c:h val="0.82142108372578815"/>
        </c:manualLayout>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none"/>
          </c:marker>
          <c:cat>
            <c:strRef>
              <c:f>'Pivot 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Table'!$B$20:$B$32</c:f>
              <c:numCache>
                <c:formatCode>[$₦-466]\ #,##0</c:formatCode>
                <c:ptCount val="12"/>
                <c:pt idx="0">
                  <c:v>3454250</c:v>
                </c:pt>
                <c:pt idx="1">
                  <c:v>4166450</c:v>
                </c:pt>
                <c:pt idx="2">
                  <c:v>4180250</c:v>
                </c:pt>
                <c:pt idx="3">
                  <c:v>5350600</c:v>
                </c:pt>
                <c:pt idx="4">
                  <c:v>5732000</c:v>
                </c:pt>
                <c:pt idx="5">
                  <c:v>6571300</c:v>
                </c:pt>
                <c:pt idx="6">
                  <c:v>3458250</c:v>
                </c:pt>
                <c:pt idx="7">
                  <c:v>4928600</c:v>
                </c:pt>
                <c:pt idx="8">
                  <c:v>5690800</c:v>
                </c:pt>
                <c:pt idx="9">
                  <c:v>6859150</c:v>
                </c:pt>
                <c:pt idx="10">
                  <c:v>4223800</c:v>
                </c:pt>
                <c:pt idx="11">
                  <c:v>3698950</c:v>
                </c:pt>
              </c:numCache>
            </c:numRef>
          </c:val>
          <c:smooth val="0"/>
          <c:extLst>
            <c:ext xmlns:c16="http://schemas.microsoft.com/office/drawing/2014/chart" uri="{C3380CC4-5D6E-409C-BE32-E72D297353CC}">
              <c16:uniqueId val="{00000000-0299-4617-82FB-026B7B8C6E99}"/>
            </c:ext>
          </c:extLst>
        </c:ser>
        <c:dLbls>
          <c:showLegendKey val="0"/>
          <c:showVal val="0"/>
          <c:showCatName val="0"/>
          <c:showSerName val="0"/>
          <c:showPercent val="0"/>
          <c:showBubbleSize val="0"/>
        </c:dLbls>
        <c:smooth val="0"/>
        <c:axId val="745427856"/>
        <c:axId val="745427376"/>
      </c:lineChart>
      <c:catAx>
        <c:axId val="7454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427376"/>
        <c:crosses val="autoZero"/>
        <c:auto val="1"/>
        <c:lblAlgn val="ctr"/>
        <c:lblOffset val="100"/>
        <c:noMultiLvlLbl val="0"/>
      </c:catAx>
      <c:valAx>
        <c:axId val="745427376"/>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42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15</xdr:row>
      <xdr:rowOff>165100</xdr:rowOff>
    </xdr:to>
    <xdr:graphicFrame macro="">
      <xdr:nvGraphicFramePr>
        <xdr:cNvPr id="3" name="Chart 2">
          <a:extLst>
            <a:ext uri="{FF2B5EF4-FFF2-40B4-BE49-F238E27FC236}">
              <a16:creationId xmlns:a16="http://schemas.microsoft.com/office/drawing/2014/main" id="{FA15A548-D0B3-473B-A442-B7014674C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17</xdr:col>
      <xdr:colOff>304800</xdr:colOff>
      <xdr:row>15</xdr:row>
      <xdr:rowOff>165100</xdr:rowOff>
    </xdr:to>
    <xdr:graphicFrame macro="">
      <xdr:nvGraphicFramePr>
        <xdr:cNvPr id="5" name="Chart 4">
          <a:extLst>
            <a:ext uri="{FF2B5EF4-FFF2-40B4-BE49-F238E27FC236}">
              <a16:creationId xmlns:a16="http://schemas.microsoft.com/office/drawing/2014/main" id="{54FB8D97-0E9A-43B4-A344-AB6903837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8</xdr:col>
      <xdr:colOff>304800</xdr:colOff>
      <xdr:row>34</xdr:row>
      <xdr:rowOff>165100</xdr:rowOff>
    </xdr:to>
    <xdr:graphicFrame macro="">
      <xdr:nvGraphicFramePr>
        <xdr:cNvPr id="7" name="Chart 6">
          <a:extLst>
            <a:ext uri="{FF2B5EF4-FFF2-40B4-BE49-F238E27FC236}">
              <a16:creationId xmlns:a16="http://schemas.microsoft.com/office/drawing/2014/main" id="{4178E9B5-D8F0-4C7C-9B28-B87AB708B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603192</xdr:colOff>
      <xdr:row>2</xdr:row>
      <xdr:rowOff>8010</xdr:rowOff>
    </xdr:from>
    <xdr:to>
      <xdr:col>11</xdr:col>
      <xdr:colOff>423334</xdr:colOff>
      <xdr:row>12</xdr:row>
      <xdr:rowOff>187243</xdr:rowOff>
    </xdr:to>
    <xdr:graphicFrame macro="">
      <xdr:nvGraphicFramePr>
        <xdr:cNvPr id="2" name="Chart 1">
          <a:extLst>
            <a:ext uri="{FF2B5EF4-FFF2-40B4-BE49-F238E27FC236}">
              <a16:creationId xmlns:a16="http://schemas.microsoft.com/office/drawing/2014/main" id="{37B7E028-5FF6-4FB3-A66A-555B618FC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439616</xdr:colOff>
      <xdr:row>2</xdr:row>
      <xdr:rowOff>8141</xdr:rowOff>
    </xdr:from>
    <xdr:to>
      <xdr:col>18</xdr:col>
      <xdr:colOff>0</xdr:colOff>
      <xdr:row>25</xdr:row>
      <xdr:rowOff>0</xdr:rowOff>
    </xdr:to>
    <xdr:graphicFrame macro="">
      <xdr:nvGraphicFramePr>
        <xdr:cNvPr id="3" name="Chart 2">
          <a:extLst>
            <a:ext uri="{FF2B5EF4-FFF2-40B4-BE49-F238E27FC236}">
              <a16:creationId xmlns:a16="http://schemas.microsoft.com/office/drawing/2014/main" id="{E3FB7A54-BFB2-4B05-8138-57941C0C5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599709</xdr:colOff>
      <xdr:row>12</xdr:row>
      <xdr:rowOff>179103</xdr:rowOff>
    </xdr:from>
    <xdr:to>
      <xdr:col>11</xdr:col>
      <xdr:colOff>431475</xdr:colOff>
      <xdr:row>25</xdr:row>
      <xdr:rowOff>8141</xdr:rowOff>
    </xdr:to>
    <xdr:graphicFrame macro="">
      <xdr:nvGraphicFramePr>
        <xdr:cNvPr id="4" name="Chart 3">
          <a:extLst>
            <a:ext uri="{FF2B5EF4-FFF2-40B4-BE49-F238E27FC236}">
              <a16:creationId xmlns:a16="http://schemas.microsoft.com/office/drawing/2014/main" id="{74597891-9143-41DF-ADB4-C6AF84ED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184801</xdr:rowOff>
    </xdr:from>
    <xdr:to>
      <xdr:col>4</xdr:col>
      <xdr:colOff>8140</xdr:colOff>
      <xdr:row>14</xdr:row>
      <xdr:rowOff>162820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4D018CF-F9C7-C2A1-6416-15A0153032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80442"/>
              <a:ext cx="2450448" cy="1101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42335</xdr:rowOff>
    </xdr:from>
    <xdr:to>
      <xdr:col>4</xdr:col>
      <xdr:colOff>0</xdr:colOff>
      <xdr:row>25</xdr:row>
      <xdr:rowOff>25298</xdr:rowOff>
    </xdr:to>
    <mc:AlternateContent xmlns:mc="http://schemas.openxmlformats.org/markup-compatibility/2006" xmlns:a14="http://schemas.microsoft.com/office/drawing/2010/main">
      <mc:Choice Requires="a14">
        <xdr:graphicFrame macro="">
          <xdr:nvGraphicFramePr>
            <xdr:cNvPr id="6" name="Sales_Rep">
              <a:extLst>
                <a:ext uri="{FF2B5EF4-FFF2-40B4-BE49-F238E27FC236}">
                  <a16:creationId xmlns:a16="http://schemas.microsoft.com/office/drawing/2014/main" id="{620FB694-DE97-345A-2729-DF727AB7C91A}"/>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0" y="3697656"/>
              <a:ext cx="2442308" cy="1106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162821</xdr:rowOff>
    </xdr:from>
    <xdr:to>
      <xdr:col>4</xdr:col>
      <xdr:colOff>0</xdr:colOff>
      <xdr:row>19</xdr:row>
      <xdr:rowOff>48846</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DD92434C-8974-AD48-6C0A-FD0519876AB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881924"/>
              <a:ext cx="2442308" cy="822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9770</xdr:rowOff>
    </xdr:from>
    <xdr:to>
      <xdr:col>4</xdr:col>
      <xdr:colOff>0</xdr:colOff>
      <xdr:row>8</xdr:row>
      <xdr:rowOff>171835</xdr:rowOff>
    </xdr:to>
    <mc:AlternateContent xmlns:mc="http://schemas.openxmlformats.org/markup-compatibility/2006" xmlns:a14="http://schemas.microsoft.com/office/drawing/2010/main">
      <mc:Choice Requires="a14">
        <xdr:graphicFrame macro="">
          <xdr:nvGraphicFramePr>
            <xdr:cNvPr id="8" name="Product_Name">
              <a:extLst>
                <a:ext uri="{FF2B5EF4-FFF2-40B4-BE49-F238E27FC236}">
                  <a16:creationId xmlns:a16="http://schemas.microsoft.com/office/drawing/2014/main" id="{D9517626-A934-45C3-22CB-22D9A894EEB9}"/>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661052"/>
              <a:ext cx="2442308" cy="1106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16282</xdr:colOff>
      <xdr:row>0</xdr:row>
      <xdr:rowOff>1</xdr:rowOff>
    </xdr:from>
    <xdr:to>
      <xdr:col>4</xdr:col>
      <xdr:colOff>0</xdr:colOff>
      <xdr:row>3</xdr:row>
      <xdr:rowOff>8142</xdr:rowOff>
    </xdr:to>
    <xdr:sp macro="" textlink="">
      <xdr:nvSpPr>
        <xdr:cNvPr id="9" name="Rectangle 8">
          <a:extLst>
            <a:ext uri="{FF2B5EF4-FFF2-40B4-BE49-F238E27FC236}">
              <a16:creationId xmlns:a16="http://schemas.microsoft.com/office/drawing/2014/main" id="{20982076-EEB0-FA84-F4E1-000AB6F675AB}"/>
            </a:ext>
          </a:extLst>
        </xdr:cNvPr>
        <xdr:cNvSpPr/>
      </xdr:nvSpPr>
      <xdr:spPr>
        <a:xfrm>
          <a:off x="16282" y="1"/>
          <a:ext cx="2426026" cy="5698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Times New Roman" panose="02020603050405020304" pitchFamily="18" charset="0"/>
              <a:ea typeface="+mn-ea"/>
              <a:cs typeface="Times New Roman" panose="02020603050405020304" pitchFamily="18" charset="0"/>
            </a:rPr>
            <a:t>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Times New Roman" panose="02020603050405020304" pitchFamily="18" charset="0"/>
              <a:ea typeface="+mn-ea"/>
              <a:cs typeface="Times New Roman" panose="02020603050405020304" pitchFamily="18" charset="0"/>
            </a:rPr>
            <a:t>             DASHBOARD</a:t>
          </a:r>
          <a:endParaRPr lang="en-US" sz="1800" b="1">
            <a:effectLst/>
            <a:latin typeface="Times New Roman" panose="02020603050405020304" pitchFamily="18" charset="0"/>
            <a:cs typeface="Times New Roman" panose="02020603050405020304" pitchFamily="18" charset="0"/>
          </a:endParaRPr>
        </a:p>
        <a:p>
          <a:pPr algn="r"/>
          <a:endParaRPr lang="en-US" sz="1100"/>
        </a:p>
      </xdr:txBody>
    </xdr:sp>
    <xdr:clientData/>
  </xdr:twoCellAnchor>
  <xdr:twoCellAnchor>
    <xdr:from>
      <xdr:col>18</xdr:col>
      <xdr:colOff>16282</xdr:colOff>
      <xdr:row>12</xdr:row>
      <xdr:rowOff>8141</xdr:rowOff>
    </xdr:from>
    <xdr:to>
      <xdr:col>21</xdr:col>
      <xdr:colOff>162821</xdr:colOff>
      <xdr:row>24</xdr:row>
      <xdr:rowOff>170961</xdr:rowOff>
    </xdr:to>
    <xdr:sp macro="" textlink="">
      <xdr:nvSpPr>
        <xdr:cNvPr id="16" name="Rectangle 15">
          <a:extLst>
            <a:ext uri="{FF2B5EF4-FFF2-40B4-BE49-F238E27FC236}">
              <a16:creationId xmlns:a16="http://schemas.microsoft.com/office/drawing/2014/main" id="{90A623E0-3ECA-17EF-4F65-7ED0BC06CEA3}"/>
            </a:ext>
          </a:extLst>
        </xdr:cNvPr>
        <xdr:cNvSpPr/>
      </xdr:nvSpPr>
      <xdr:spPr>
        <a:xfrm>
          <a:off x="11145064" y="2352756"/>
          <a:ext cx="3655321" cy="24097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effectLst/>
            </a:rPr>
            <a:t>1. Regional Performance</a:t>
          </a:r>
          <a:r>
            <a:rPr lang="en-US" sz="1100">
              <a:effectLst/>
            </a:rPr>
            <a:t> Port Harcourt led with ₦12,877,150 (22.08%) driven by its large commercial population and strong distributor network. More stock should be allocated there. Ibadan recorded the lowest sales, likely due to weaker distribution coverage.</a:t>
          </a:r>
        </a:p>
        <a:p>
          <a:r>
            <a:rPr lang="en-US" sz="1100" b="1">
              <a:effectLst/>
            </a:rPr>
            <a:t>2. Monthly Trend</a:t>
          </a:r>
          <a:r>
            <a:rPr lang="en-US" sz="1100">
              <a:effectLst/>
            </a:rPr>
            <a:t> October peaked at ₦6,859,150, boosted by Q4 restocking and early festive demand. August–September and November–December saw declines from reduced consumer purchasing power.</a:t>
          </a:r>
        </a:p>
        <a:p>
          <a:r>
            <a:rPr lang="en-US" sz="1100" b="1">
              <a:effectLst/>
            </a:rPr>
            <a:t>3. Product Categories</a:t>
          </a:r>
          <a:r>
            <a:rPr lang="en-US" sz="1100">
              <a:effectLst/>
            </a:rPr>
            <a:t> Personal Care led with ₦25,367,150 (17,925 units), reflecting strong everyday demand. The Unknown category logged the lowest at ₦1,369,900 (949 units) proper categorisation is recommended for accurate reporting.</a:t>
          </a:r>
        </a:p>
      </xdr:txBody>
    </xdr:sp>
    <xdr:clientData/>
  </xdr:twoCellAnchor>
  <xdr:twoCellAnchor editAs="oneCell">
    <xdr:from>
      <xdr:col>0</xdr:col>
      <xdr:colOff>105834</xdr:colOff>
      <xdr:row>0</xdr:row>
      <xdr:rowOff>32564</xdr:rowOff>
    </xdr:from>
    <xdr:to>
      <xdr:col>1</xdr:col>
      <xdr:colOff>236090</xdr:colOff>
      <xdr:row>2</xdr:row>
      <xdr:rowOff>162821</xdr:rowOff>
    </xdr:to>
    <xdr:pic>
      <xdr:nvPicPr>
        <xdr:cNvPr id="25" name="Picture 24">
          <a:extLst>
            <a:ext uri="{FF2B5EF4-FFF2-40B4-BE49-F238E27FC236}">
              <a16:creationId xmlns:a16="http://schemas.microsoft.com/office/drawing/2014/main" id="{12B6EE45-F728-DEEF-F38F-15DA396854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834" y="32564"/>
          <a:ext cx="740833" cy="5942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70855</xdr:colOff>
      <xdr:row>0</xdr:row>
      <xdr:rowOff>89122</xdr:rowOff>
    </xdr:from>
    <xdr:to>
      <xdr:col>1</xdr:col>
      <xdr:colOff>91723</xdr:colOff>
      <xdr:row>3</xdr:row>
      <xdr:rowOff>0</xdr:rowOff>
    </xdr:to>
    <xdr:sp macro="" textlink="">
      <xdr:nvSpPr>
        <xdr:cNvPr id="17" name="Rectangle: Rounded Corners 16">
          <a:extLst>
            <a:ext uri="{FF2B5EF4-FFF2-40B4-BE49-F238E27FC236}">
              <a16:creationId xmlns:a16="http://schemas.microsoft.com/office/drawing/2014/main" id="{08B22FD1-B5F0-4FB0-8714-50BB9887B080}"/>
            </a:ext>
          </a:extLst>
        </xdr:cNvPr>
        <xdr:cNvSpPr/>
      </xdr:nvSpPr>
      <xdr:spPr>
        <a:xfrm>
          <a:off x="70855" y="89122"/>
          <a:ext cx="627646" cy="503545"/>
        </a:xfrm>
        <a:prstGeom prst="roundRect">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183059</xdr:colOff>
      <xdr:row>0</xdr:row>
      <xdr:rowOff>89124</xdr:rowOff>
    </xdr:from>
    <xdr:to>
      <xdr:col>3</xdr:col>
      <xdr:colOff>522111</xdr:colOff>
      <xdr:row>3</xdr:row>
      <xdr:rowOff>21167</xdr:rowOff>
    </xdr:to>
    <xdr:sp macro="" textlink="">
      <xdr:nvSpPr>
        <xdr:cNvPr id="18" name="Rectangle: Rounded Corners 17">
          <a:extLst>
            <a:ext uri="{FF2B5EF4-FFF2-40B4-BE49-F238E27FC236}">
              <a16:creationId xmlns:a16="http://schemas.microsoft.com/office/drawing/2014/main" id="{01026429-32C2-476B-9705-0D9B195C2438}"/>
            </a:ext>
          </a:extLst>
        </xdr:cNvPr>
        <xdr:cNvSpPr/>
      </xdr:nvSpPr>
      <xdr:spPr>
        <a:xfrm>
          <a:off x="789837" y="89124"/>
          <a:ext cx="1552607" cy="524710"/>
        </a:xfrm>
        <a:prstGeom prst="roundRect">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LAST UPDATED: 17/04/2026</a:t>
          </a:r>
        </a:p>
      </xdr:txBody>
    </xdr:sp>
    <xdr:clientData/>
  </xdr:twoCellAnchor>
  <xdr:twoCellAnchor>
    <xdr:from>
      <xdr:col>4</xdr:col>
      <xdr:colOff>27238</xdr:colOff>
      <xdr:row>4</xdr:row>
      <xdr:rowOff>112437</xdr:rowOff>
    </xdr:from>
    <xdr:to>
      <xdr:col>6</xdr:col>
      <xdr:colOff>182563</xdr:colOff>
      <xdr:row>7</xdr:row>
      <xdr:rowOff>170228</xdr:rowOff>
    </xdr:to>
    <xdr:sp macro="" textlink="DASHBOARD!F1">
      <xdr:nvSpPr>
        <xdr:cNvPr id="14" name="Rectangle: Rounded Corners 13">
          <a:extLst>
            <a:ext uri="{FF2B5EF4-FFF2-40B4-BE49-F238E27FC236}">
              <a16:creationId xmlns:a16="http://schemas.microsoft.com/office/drawing/2014/main" id="{53D84640-901D-4202-9EC2-46AE019438C2}"/>
            </a:ext>
          </a:extLst>
        </xdr:cNvPr>
        <xdr:cNvSpPr/>
      </xdr:nvSpPr>
      <xdr:spPr>
        <a:xfrm>
          <a:off x="2471988" y="882375"/>
          <a:ext cx="1377700" cy="605478"/>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Revenue</a:t>
          </a:r>
        </a:p>
        <a:p>
          <a:pPr algn="l"/>
          <a:fld id="{B1921C26-2591-444F-807E-560B5A1A0C5C}" type="TxLink">
            <a:rPr lang="en-US" sz="1600" b="1" i="0" u="none" strike="noStrike">
              <a:solidFill>
                <a:srgbClr val="000000"/>
              </a:solidFill>
              <a:latin typeface="Calibri"/>
              <a:ea typeface="Calibri"/>
              <a:cs typeface="Calibri"/>
            </a:rPr>
            <a:pPr algn="l"/>
            <a:t>₦ 58,314,400</a:t>
          </a:fld>
          <a:endParaRPr lang="en-US" sz="900"/>
        </a:p>
      </xdr:txBody>
    </xdr:sp>
    <xdr:clientData/>
  </xdr:twoCellAnchor>
  <xdr:twoCellAnchor>
    <xdr:from>
      <xdr:col>0</xdr:col>
      <xdr:colOff>68074</xdr:colOff>
      <xdr:row>3</xdr:row>
      <xdr:rowOff>116417</xdr:rowOff>
    </xdr:from>
    <xdr:to>
      <xdr:col>3</xdr:col>
      <xdr:colOff>502955</xdr:colOff>
      <xdr:row>24</xdr:row>
      <xdr:rowOff>111125</xdr:rowOff>
    </xdr:to>
    <xdr:sp macro="" textlink="">
      <xdr:nvSpPr>
        <xdr:cNvPr id="20" name="Rectangle: Rounded Corners 19">
          <a:extLst>
            <a:ext uri="{FF2B5EF4-FFF2-40B4-BE49-F238E27FC236}">
              <a16:creationId xmlns:a16="http://schemas.microsoft.com/office/drawing/2014/main" id="{5AB29948-D431-478E-906A-E36436CE1518}"/>
            </a:ext>
          </a:extLst>
        </xdr:cNvPr>
        <xdr:cNvSpPr/>
      </xdr:nvSpPr>
      <xdr:spPr>
        <a:xfrm>
          <a:off x="68074" y="703792"/>
          <a:ext cx="2268444" cy="3828521"/>
        </a:xfrm>
        <a:prstGeom prst="roundRect">
          <a:avLst>
            <a:gd name="adj" fmla="val 712"/>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58956</xdr:colOff>
      <xdr:row>9</xdr:row>
      <xdr:rowOff>103187</xdr:rowOff>
    </xdr:from>
    <xdr:to>
      <xdr:col>12</xdr:col>
      <xdr:colOff>444500</xdr:colOff>
      <xdr:row>24</xdr:row>
      <xdr:rowOff>95240</xdr:rowOff>
    </xdr:to>
    <xdr:sp macro="" textlink="">
      <xdr:nvSpPr>
        <xdr:cNvPr id="23" name="Rectangle: Rounded Corners 22">
          <a:extLst>
            <a:ext uri="{FF2B5EF4-FFF2-40B4-BE49-F238E27FC236}">
              <a16:creationId xmlns:a16="http://schemas.microsoft.com/office/drawing/2014/main" id="{139ED6E5-0CBF-4B5C-BFFE-92D89F62360C}"/>
            </a:ext>
          </a:extLst>
        </xdr:cNvPr>
        <xdr:cNvSpPr/>
      </xdr:nvSpPr>
      <xdr:spPr>
        <a:xfrm>
          <a:off x="2503706" y="1785937"/>
          <a:ext cx="5275044" cy="2730491"/>
        </a:xfrm>
        <a:prstGeom prst="roundRect">
          <a:avLst>
            <a:gd name="adj" fmla="val 0"/>
          </a:avLst>
        </a:prstGeom>
        <a:solidFill>
          <a:sysClr val="window" lastClr="FFFFFF"/>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solidFill>
          </a:endParaRPr>
        </a:p>
      </xdr:txBody>
    </xdr:sp>
    <xdr:clientData/>
  </xdr:twoCellAnchor>
  <xdr:twoCellAnchor>
    <xdr:from>
      <xdr:col>6</xdr:col>
      <xdr:colOff>258127</xdr:colOff>
      <xdr:row>4</xdr:row>
      <xdr:rowOff>114906</xdr:rowOff>
    </xdr:from>
    <xdr:to>
      <xdr:col>8</xdr:col>
      <xdr:colOff>349250</xdr:colOff>
      <xdr:row>7</xdr:row>
      <xdr:rowOff>172697</xdr:rowOff>
    </xdr:to>
    <xdr:sp macro="" textlink="DASHBOARD!J1">
      <xdr:nvSpPr>
        <xdr:cNvPr id="27" name="Rectangle: Rounded Corners 26">
          <a:extLst>
            <a:ext uri="{FF2B5EF4-FFF2-40B4-BE49-F238E27FC236}">
              <a16:creationId xmlns:a16="http://schemas.microsoft.com/office/drawing/2014/main" id="{1B322B11-3D4B-4700-8E4E-24AF671F39D4}"/>
            </a:ext>
          </a:extLst>
        </xdr:cNvPr>
        <xdr:cNvSpPr/>
      </xdr:nvSpPr>
      <xdr:spPr>
        <a:xfrm>
          <a:off x="3925252" y="884844"/>
          <a:ext cx="1313498" cy="605478"/>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Average Revenue</a:t>
          </a:r>
        </a:p>
        <a:p>
          <a:pPr algn="l"/>
          <a:fld id="{D5FCB06E-0FD7-4F35-B564-5B81C6B9A3BE}" type="TxLink">
            <a:rPr lang="en-US" sz="1600" b="1" i="0" u="none" strike="noStrike">
              <a:solidFill>
                <a:srgbClr val="000000"/>
              </a:solidFill>
              <a:latin typeface="Calibri"/>
              <a:ea typeface="Calibri"/>
              <a:cs typeface="Calibri"/>
            </a:rPr>
            <a:pPr algn="l"/>
            <a:t>₦ 121,488.33</a:t>
          </a:fld>
          <a:endParaRPr lang="en-US" sz="1100"/>
        </a:p>
      </xdr:txBody>
    </xdr:sp>
    <xdr:clientData/>
  </xdr:twoCellAnchor>
  <xdr:twoCellAnchor>
    <xdr:from>
      <xdr:col>8</xdr:col>
      <xdr:colOff>400833</xdr:colOff>
      <xdr:row>4</xdr:row>
      <xdr:rowOff>112079</xdr:rowOff>
    </xdr:from>
    <xdr:to>
      <xdr:col>10</xdr:col>
      <xdr:colOff>380650</xdr:colOff>
      <xdr:row>7</xdr:row>
      <xdr:rowOff>169870</xdr:rowOff>
    </xdr:to>
    <xdr:sp macro="" textlink="DASHBOARD!Q1">
      <xdr:nvSpPr>
        <xdr:cNvPr id="28" name="Rectangle: Rounded Corners 27">
          <a:extLst>
            <a:ext uri="{FF2B5EF4-FFF2-40B4-BE49-F238E27FC236}">
              <a16:creationId xmlns:a16="http://schemas.microsoft.com/office/drawing/2014/main" id="{8EB8E978-766D-4D59-9AB7-E70E9F5D7C24}"/>
            </a:ext>
          </a:extLst>
        </xdr:cNvPr>
        <xdr:cNvSpPr/>
      </xdr:nvSpPr>
      <xdr:spPr>
        <a:xfrm>
          <a:off x="5290333" y="882017"/>
          <a:ext cx="1202192" cy="605478"/>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Calibri"/>
              <a:ea typeface="Calibri"/>
              <a:cs typeface="Calibri"/>
            </a:rPr>
            <a:t>Total Unit Sold</a:t>
          </a:r>
          <a:endParaRPr lang="en-US" sz="1600" b="1" i="0" u="none" strike="noStrike">
            <a:solidFill>
              <a:srgbClr val="000000"/>
            </a:solidFill>
            <a:latin typeface="Calibri"/>
            <a:ea typeface="Calibri"/>
            <a:cs typeface="Calibri"/>
          </a:endParaRPr>
        </a:p>
        <a:p>
          <a:pPr algn="ctr"/>
          <a:fld id="{F7EA2C51-CB9C-4E53-B7DA-6D8BDA00F1A0}" type="TxLink">
            <a:rPr lang="en-US" sz="1600" b="1" i="0" u="none" strike="noStrike">
              <a:solidFill>
                <a:srgbClr val="000000"/>
              </a:solidFill>
              <a:latin typeface="Calibri"/>
              <a:ea typeface="Calibri"/>
              <a:cs typeface="Calibri"/>
            </a:rPr>
            <a:pPr algn="ctr"/>
            <a:t>47345</a:t>
          </a:fld>
          <a:endParaRPr lang="en-US" sz="1100"/>
        </a:p>
      </xdr:txBody>
    </xdr:sp>
    <xdr:clientData/>
  </xdr:twoCellAnchor>
  <xdr:twoCellAnchor>
    <xdr:from>
      <xdr:col>10</xdr:col>
      <xdr:colOff>436564</xdr:colOff>
      <xdr:row>4</xdr:row>
      <xdr:rowOff>103187</xdr:rowOff>
    </xdr:from>
    <xdr:to>
      <xdr:col>12</xdr:col>
      <xdr:colOff>539750</xdr:colOff>
      <xdr:row>7</xdr:row>
      <xdr:rowOff>181164</xdr:rowOff>
    </xdr:to>
    <xdr:sp macro="" textlink="DASHBOARD!N1">
      <xdr:nvSpPr>
        <xdr:cNvPr id="29" name="Rectangle: Rounded Corners 28">
          <a:extLst>
            <a:ext uri="{FF2B5EF4-FFF2-40B4-BE49-F238E27FC236}">
              <a16:creationId xmlns:a16="http://schemas.microsoft.com/office/drawing/2014/main" id="{D07087CE-DBD4-4BA9-B39D-0D0C0AD2E9E7}"/>
            </a:ext>
          </a:extLst>
        </xdr:cNvPr>
        <xdr:cNvSpPr/>
      </xdr:nvSpPr>
      <xdr:spPr>
        <a:xfrm>
          <a:off x="6548439" y="873125"/>
          <a:ext cx="1325561" cy="625664"/>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Maximum Revenue</a:t>
          </a:r>
          <a:endParaRPr lang="en-US" sz="1800" b="1" i="0" u="none" strike="noStrike">
            <a:solidFill>
              <a:srgbClr val="000000"/>
            </a:solidFill>
            <a:latin typeface="Calibri"/>
            <a:ea typeface="Calibri"/>
            <a:cs typeface="Calibri"/>
          </a:endParaRPr>
        </a:p>
        <a:p>
          <a:pPr algn="l"/>
          <a:fld id="{F50E88B7-7B63-4F4D-955D-85D01FB84287}" type="TxLink">
            <a:rPr lang="en-US" sz="1800" b="1" i="0" u="none" strike="noStrike">
              <a:solidFill>
                <a:srgbClr val="000000"/>
              </a:solidFill>
              <a:latin typeface="Calibri"/>
              <a:ea typeface="Calibri"/>
              <a:cs typeface="Calibri"/>
            </a:rPr>
            <a:pPr algn="l"/>
            <a:t>₦ 700,000</a:t>
          </a:fld>
          <a:endParaRPr lang="en-US" sz="1200"/>
        </a:p>
      </xdr:txBody>
    </xdr:sp>
    <xdr:clientData/>
  </xdr:twoCellAnchor>
  <xdr:twoCellAnchor>
    <xdr:from>
      <xdr:col>13</xdr:col>
      <xdr:colOff>28223</xdr:colOff>
      <xdr:row>0</xdr:row>
      <xdr:rowOff>119954</xdr:rowOff>
    </xdr:from>
    <xdr:to>
      <xdr:col>20</xdr:col>
      <xdr:colOff>134939</xdr:colOff>
      <xdr:row>11</xdr:row>
      <xdr:rowOff>55563</xdr:rowOff>
    </xdr:to>
    <xdr:sp macro="" textlink="">
      <xdr:nvSpPr>
        <xdr:cNvPr id="30" name="Rectangle: Rounded Corners 29">
          <a:extLst>
            <a:ext uri="{FF2B5EF4-FFF2-40B4-BE49-F238E27FC236}">
              <a16:creationId xmlns:a16="http://schemas.microsoft.com/office/drawing/2014/main" id="{D4922B17-F678-43A1-BFE9-220FA9485962}"/>
            </a:ext>
          </a:extLst>
        </xdr:cNvPr>
        <xdr:cNvSpPr/>
      </xdr:nvSpPr>
      <xdr:spPr>
        <a:xfrm>
          <a:off x="7973661" y="119954"/>
          <a:ext cx="4385028" cy="1983484"/>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1">
            <a:solidFill>
              <a:schemeClr val="tx1"/>
            </a:solidFill>
          </a:endParaRPr>
        </a:p>
      </xdr:txBody>
    </xdr:sp>
    <xdr:clientData/>
  </xdr:twoCellAnchor>
  <xdr:twoCellAnchor>
    <xdr:from>
      <xdr:col>13</xdr:col>
      <xdr:colOff>5293</xdr:colOff>
      <xdr:row>12</xdr:row>
      <xdr:rowOff>103187</xdr:rowOff>
    </xdr:from>
    <xdr:to>
      <xdr:col>20</xdr:col>
      <xdr:colOff>127001</xdr:colOff>
      <xdr:row>24</xdr:row>
      <xdr:rowOff>71437</xdr:rowOff>
    </xdr:to>
    <xdr:sp macro="" textlink="">
      <xdr:nvSpPr>
        <xdr:cNvPr id="32" name="Rectangle: Rounded Corners 31">
          <a:extLst>
            <a:ext uri="{FF2B5EF4-FFF2-40B4-BE49-F238E27FC236}">
              <a16:creationId xmlns:a16="http://schemas.microsoft.com/office/drawing/2014/main" id="{C788DCAB-9A76-4DF5-A1AC-53A1C6ABD7C6}"/>
            </a:ext>
          </a:extLst>
        </xdr:cNvPr>
        <xdr:cNvSpPr/>
      </xdr:nvSpPr>
      <xdr:spPr>
        <a:xfrm>
          <a:off x="7950731" y="2333625"/>
          <a:ext cx="4400020" cy="2159000"/>
        </a:xfrm>
        <a:prstGeom prst="roundRect">
          <a:avLst>
            <a:gd name="adj" fmla="val 0"/>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567092</xdr:colOff>
      <xdr:row>12</xdr:row>
      <xdr:rowOff>47625</xdr:rowOff>
    </xdr:from>
    <xdr:to>
      <xdr:col>20</xdr:col>
      <xdr:colOff>174625</xdr:colOff>
      <xdr:row>24</xdr:row>
      <xdr:rowOff>103187</xdr:rowOff>
    </xdr:to>
    <xdr:graphicFrame macro="">
      <xdr:nvGraphicFramePr>
        <xdr:cNvPr id="57" name="Chart 56">
          <a:extLst>
            <a:ext uri="{FF2B5EF4-FFF2-40B4-BE49-F238E27FC236}">
              <a16:creationId xmlns:a16="http://schemas.microsoft.com/office/drawing/2014/main" id="{9C4150A4-614B-45A0-9171-EC12E1495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592666</xdr:colOff>
      <xdr:row>0</xdr:row>
      <xdr:rowOff>98779</xdr:rowOff>
    </xdr:from>
    <xdr:to>
      <xdr:col>20</xdr:col>
      <xdr:colOff>174625</xdr:colOff>
      <xdr:row>11</xdr:row>
      <xdr:rowOff>87313</xdr:rowOff>
    </xdr:to>
    <xdr:graphicFrame macro="">
      <xdr:nvGraphicFramePr>
        <xdr:cNvPr id="62" name="Chart 61">
          <a:extLst>
            <a:ext uri="{FF2B5EF4-FFF2-40B4-BE49-F238E27FC236}">
              <a16:creationId xmlns:a16="http://schemas.microsoft.com/office/drawing/2014/main" id="{46C0E5B7-B682-4775-8219-D9AAD1815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134047</xdr:colOff>
      <xdr:row>0</xdr:row>
      <xdr:rowOff>74790</xdr:rowOff>
    </xdr:from>
    <xdr:to>
      <xdr:col>1</xdr:col>
      <xdr:colOff>70546</xdr:colOff>
      <xdr:row>2</xdr:row>
      <xdr:rowOff>165575</xdr:rowOff>
    </xdr:to>
    <xdr:pic>
      <xdr:nvPicPr>
        <xdr:cNvPr id="64" name="Graphic 63" descr="Stopwatch with solid fill">
          <a:extLst>
            <a:ext uri="{FF2B5EF4-FFF2-40B4-BE49-F238E27FC236}">
              <a16:creationId xmlns:a16="http://schemas.microsoft.com/office/drawing/2014/main" id="{23E6D278-A264-F2B7-C8DB-941E9D8360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047" y="74790"/>
          <a:ext cx="543277" cy="500007"/>
        </a:xfrm>
        <a:prstGeom prst="rect">
          <a:avLst/>
        </a:prstGeom>
      </xdr:spPr>
    </xdr:pic>
    <xdr:clientData/>
  </xdr:twoCellAnchor>
  <xdr:twoCellAnchor>
    <xdr:from>
      <xdr:col>20</xdr:col>
      <xdr:colOff>246063</xdr:colOff>
      <xdr:row>0</xdr:row>
      <xdr:rowOff>87313</xdr:rowOff>
    </xdr:from>
    <xdr:to>
      <xdr:col>24</xdr:col>
      <xdr:colOff>39688</xdr:colOff>
      <xdr:row>24</xdr:row>
      <xdr:rowOff>95250</xdr:rowOff>
    </xdr:to>
    <xdr:sp macro="" textlink="">
      <xdr:nvSpPr>
        <xdr:cNvPr id="65" name="Rectangle: Rounded Corners 64">
          <a:extLst>
            <a:ext uri="{FF2B5EF4-FFF2-40B4-BE49-F238E27FC236}">
              <a16:creationId xmlns:a16="http://schemas.microsoft.com/office/drawing/2014/main" id="{D09CC9AD-C650-4A44-B3F4-4D58C809ECE2}"/>
            </a:ext>
          </a:extLst>
        </xdr:cNvPr>
        <xdr:cNvSpPr/>
      </xdr:nvSpPr>
      <xdr:spPr>
        <a:xfrm>
          <a:off x="12469813" y="87313"/>
          <a:ext cx="2238375" cy="4429125"/>
        </a:xfrm>
        <a:prstGeom prst="roundRect">
          <a:avLst>
            <a:gd name="adj" fmla="val 142"/>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SALES INSIGHTS</a:t>
          </a:r>
        </a:p>
        <a:p>
          <a:pPr algn="ctr"/>
          <a:r>
            <a:rPr lang="en-US" sz="1200" b="1">
              <a:solidFill>
                <a:schemeClr val="tx1"/>
              </a:solidFill>
            </a:rPr>
            <a:t>1. </a:t>
          </a:r>
          <a:r>
            <a:rPr lang="en-US" sz="1100" b="1">
              <a:solidFill>
                <a:schemeClr val="tx1"/>
              </a:solidFill>
            </a:rPr>
            <a:t>REGIONAL</a:t>
          </a:r>
          <a:r>
            <a:rPr lang="en-US" sz="1100" b="1" baseline="0">
              <a:solidFill>
                <a:schemeClr val="tx1"/>
              </a:solidFill>
            </a:rPr>
            <a:t> PERFORMANCE: </a:t>
          </a:r>
          <a:r>
            <a:rPr lang="en-US" sz="1100" b="0" baseline="0">
              <a:solidFill>
                <a:schemeClr val="tx1"/>
              </a:solidFill>
            </a:rPr>
            <a:t>Portharcourt led with #12,877,150 </a:t>
          </a:r>
          <a:r>
            <a:rPr lang="en-US" sz="1100" b="0">
              <a:solidFill>
                <a:schemeClr val="tx1"/>
              </a:solidFill>
              <a:effectLst/>
              <a:latin typeface="+mn-lt"/>
              <a:ea typeface="+mn-ea"/>
              <a:cs typeface="+mn-cs"/>
            </a:rPr>
            <a:t>(22.08%) driven by its large commercial population and strong distributor network. More stock should be allocated there. Ibadan recorded the lowest sales, likely due to weaker distribution coverage.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2. </a:t>
          </a:r>
          <a:r>
            <a:rPr lang="en-US" sz="1100" b="1">
              <a:solidFill>
                <a:schemeClr val="tx1"/>
              </a:solidFill>
              <a:effectLst/>
              <a:latin typeface="+mn-lt"/>
              <a:ea typeface="+mn-ea"/>
              <a:cs typeface="+mn-cs"/>
            </a:rPr>
            <a:t>. Monthly Trend:</a:t>
          </a:r>
          <a:r>
            <a:rPr lang="en-US" sz="1100">
              <a:solidFill>
                <a:schemeClr val="tx1"/>
              </a:solidFill>
              <a:effectLst/>
              <a:latin typeface="+mn-lt"/>
              <a:ea typeface="+mn-ea"/>
              <a:cs typeface="+mn-cs"/>
            </a:rPr>
            <a:t> October peaked at ₦6,859,150 boosted by Q4 restocking and early festive demand. August–September and November–December saw declines from reduced consumer purchasing power.</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3. </a:t>
          </a:r>
          <a:r>
            <a:rPr lang="en-US" sz="1100" b="1">
              <a:solidFill>
                <a:schemeClr val="tx1"/>
              </a:solidFill>
              <a:effectLst/>
              <a:latin typeface="+mn-lt"/>
              <a:ea typeface="+mn-ea"/>
              <a:cs typeface="+mn-cs"/>
            </a:rPr>
            <a:t>Product Category:</a:t>
          </a:r>
          <a:r>
            <a:rPr lang="en-US" sz="1100">
              <a:solidFill>
                <a:schemeClr val="tx1"/>
              </a:solidFill>
              <a:effectLst/>
              <a:latin typeface="+mn-lt"/>
              <a:ea typeface="+mn-ea"/>
              <a:cs typeface="+mn-cs"/>
            </a:rPr>
            <a:t> Personal Care led with ₦25,367,150 (17,925 units), reflecting strong everyday demand. The Unknown category logged the lowest at ₦1,369,900 (949 units) proper categorisation is recommended for accurate reporting.</a:t>
          </a:r>
          <a:endParaRPr lang="en-US">
            <a:solidFill>
              <a:schemeClr val="tx1"/>
            </a:solidFill>
            <a:effectLst/>
          </a:endParaRPr>
        </a:p>
        <a:p>
          <a:pPr algn="ctr"/>
          <a:endParaRPr lang="en-US" sz="1100" b="0">
            <a:solidFill>
              <a:schemeClr val="tx1"/>
            </a:solidFill>
          </a:endParaRPr>
        </a:p>
      </xdr:txBody>
    </xdr:sp>
    <xdr:clientData/>
  </xdr:twoCellAnchor>
  <xdr:twoCellAnchor editAs="oneCell">
    <xdr:from>
      <xdr:col>0</xdr:col>
      <xdr:colOff>68074</xdr:colOff>
      <xdr:row>9</xdr:row>
      <xdr:rowOff>20952</xdr:rowOff>
    </xdr:from>
    <xdr:to>
      <xdr:col>3</xdr:col>
      <xdr:colOff>523874</xdr:colOff>
      <xdr:row>14</xdr:row>
      <xdr:rowOff>113979</xdr:rowOff>
    </xdr:to>
    <mc:AlternateContent xmlns:mc="http://schemas.openxmlformats.org/markup-compatibility/2006" xmlns:a14="http://schemas.microsoft.com/office/drawing/2010/main">
      <mc:Choice Requires="a14">
        <xdr:graphicFrame macro="">
          <xdr:nvGraphicFramePr>
            <xdr:cNvPr id="78" name="Region 1">
              <a:extLst>
                <a:ext uri="{FF2B5EF4-FFF2-40B4-BE49-F238E27FC236}">
                  <a16:creationId xmlns:a16="http://schemas.microsoft.com/office/drawing/2014/main" id="{9289D8D6-A565-4F2F-BD5F-DEAC952B77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074" y="1703702"/>
              <a:ext cx="2289363"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68074</xdr:colOff>
      <xdr:row>19</xdr:row>
      <xdr:rowOff>147367</xdr:rowOff>
    </xdr:from>
    <xdr:to>
      <xdr:col>3</xdr:col>
      <xdr:colOff>523874</xdr:colOff>
      <xdr:row>25</xdr:row>
      <xdr:rowOff>57832</xdr:rowOff>
    </xdr:to>
    <mc:AlternateContent xmlns:mc="http://schemas.openxmlformats.org/markup-compatibility/2006" xmlns:a14="http://schemas.microsoft.com/office/drawing/2010/main">
      <mc:Choice Requires="a14">
        <xdr:graphicFrame macro="">
          <xdr:nvGraphicFramePr>
            <xdr:cNvPr id="79" name="Sales_Rep 1">
              <a:extLst>
                <a:ext uri="{FF2B5EF4-FFF2-40B4-BE49-F238E27FC236}">
                  <a16:creationId xmlns:a16="http://schemas.microsoft.com/office/drawing/2014/main" id="{5AB9FBFD-2E4C-4C6E-84ED-1503C826B81F}"/>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68074" y="3655742"/>
              <a:ext cx="2289363"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68074</xdr:colOff>
      <xdr:row>14</xdr:row>
      <xdr:rowOff>103592</xdr:rowOff>
    </xdr:from>
    <xdr:to>
      <xdr:col>3</xdr:col>
      <xdr:colOff>528817</xdr:colOff>
      <xdr:row>19</xdr:row>
      <xdr:rowOff>134943</xdr:rowOff>
    </xdr:to>
    <mc:AlternateContent xmlns:mc="http://schemas.openxmlformats.org/markup-compatibility/2006" xmlns:a14="http://schemas.microsoft.com/office/drawing/2010/main">
      <mc:Choice Requires="a14">
        <xdr:graphicFrame macro="">
          <xdr:nvGraphicFramePr>
            <xdr:cNvPr id="80" name="Product_Category 1">
              <a:extLst>
                <a:ext uri="{FF2B5EF4-FFF2-40B4-BE49-F238E27FC236}">
                  <a16:creationId xmlns:a16="http://schemas.microsoft.com/office/drawing/2014/main" id="{4BD7F70A-1719-4D57-8FBA-9E521388322C}"/>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68074" y="2699155"/>
              <a:ext cx="2294306" cy="944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68074</xdr:colOff>
      <xdr:row>3</xdr:row>
      <xdr:rowOff>116417</xdr:rowOff>
    </xdr:from>
    <xdr:to>
      <xdr:col>3</xdr:col>
      <xdr:colOff>523460</xdr:colOff>
      <xdr:row>9</xdr:row>
      <xdr:rowOff>26882</xdr:rowOff>
    </xdr:to>
    <mc:AlternateContent xmlns:mc="http://schemas.openxmlformats.org/markup-compatibility/2006" xmlns:a14="http://schemas.microsoft.com/office/drawing/2010/main">
      <mc:Choice Requires="a14">
        <xdr:graphicFrame macro="">
          <xdr:nvGraphicFramePr>
            <xdr:cNvPr id="81" name="Product_Name 1">
              <a:extLst>
                <a:ext uri="{FF2B5EF4-FFF2-40B4-BE49-F238E27FC236}">
                  <a16:creationId xmlns:a16="http://schemas.microsoft.com/office/drawing/2014/main" id="{A2BC37CE-BA85-4941-B1EC-2D82368B5AE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68074" y="703792"/>
              <a:ext cx="2288949"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58956</xdr:colOff>
      <xdr:row>9</xdr:row>
      <xdr:rowOff>103188</xdr:rowOff>
    </xdr:from>
    <xdr:to>
      <xdr:col>12</xdr:col>
      <xdr:colOff>468178</xdr:colOff>
      <xdr:row>24</xdr:row>
      <xdr:rowOff>126999</xdr:rowOff>
    </xdr:to>
    <xdr:graphicFrame macro="">
      <xdr:nvGraphicFramePr>
        <xdr:cNvPr id="84" name="Chart 83">
          <a:extLst>
            <a:ext uri="{FF2B5EF4-FFF2-40B4-BE49-F238E27FC236}">
              <a16:creationId xmlns:a16="http://schemas.microsoft.com/office/drawing/2014/main" id="{38DAE538-3067-47FD-A5FB-5F2DE105C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7938</xdr:colOff>
      <xdr:row>0</xdr:row>
      <xdr:rowOff>23812</xdr:rowOff>
    </xdr:from>
    <xdr:to>
      <xdr:col>12</xdr:col>
      <xdr:colOff>523876</xdr:colOff>
      <xdr:row>3</xdr:row>
      <xdr:rowOff>103188</xdr:rowOff>
    </xdr:to>
    <xdr:sp macro="" textlink="">
      <xdr:nvSpPr>
        <xdr:cNvPr id="88" name="Rectangle: Rounded Corners 87">
          <a:extLst>
            <a:ext uri="{FF2B5EF4-FFF2-40B4-BE49-F238E27FC236}">
              <a16:creationId xmlns:a16="http://schemas.microsoft.com/office/drawing/2014/main" id="{578C3F36-E98F-46D6-BADA-F3064F7638FB}"/>
            </a:ext>
          </a:extLst>
        </xdr:cNvPr>
        <xdr:cNvSpPr/>
      </xdr:nvSpPr>
      <xdr:spPr>
        <a:xfrm>
          <a:off x="2452688" y="23812"/>
          <a:ext cx="5405438" cy="666751"/>
        </a:xfrm>
        <a:prstGeom prst="roundRect">
          <a:avLst/>
        </a:prstGeom>
        <a:solidFill>
          <a:schemeClr val="accent1">
            <a:lumMod val="40000"/>
            <a:lumOff val="60000"/>
          </a:schemeClr>
        </a:solidFill>
        <a:ln>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SALES DASHBOARD</a:t>
          </a:r>
        </a:p>
      </xdr:txBody>
    </xdr:sp>
    <xdr:clientData/>
  </xdr:twoCellAnchor>
  <xdr:twoCellAnchor editAs="oneCell">
    <xdr:from>
      <xdr:col>4</xdr:col>
      <xdr:colOff>63504</xdr:colOff>
      <xdr:row>0</xdr:row>
      <xdr:rowOff>55564</xdr:rowOff>
    </xdr:from>
    <xdr:to>
      <xdr:col>5</xdr:col>
      <xdr:colOff>193149</xdr:colOff>
      <xdr:row>3</xdr:row>
      <xdr:rowOff>62484</xdr:rowOff>
    </xdr:to>
    <xdr:pic>
      <xdr:nvPicPr>
        <xdr:cNvPr id="90" name="Picture 89">
          <a:extLst>
            <a:ext uri="{FF2B5EF4-FFF2-40B4-BE49-F238E27FC236}">
              <a16:creationId xmlns:a16="http://schemas.microsoft.com/office/drawing/2014/main" id="{74C9B4AD-25B6-4935-8382-807E2950E78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08254" y="55564"/>
          <a:ext cx="740833" cy="59429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0.27786</cdr:x>
      <cdr:y>0</cdr:y>
    </cdr:from>
    <cdr:to>
      <cdr:x>0.78752</cdr:x>
      <cdr:y>0.18403</cdr:y>
    </cdr:to>
    <cdr:pic>
      <cdr:nvPicPr>
        <cdr:cNvPr id="5" name="chart">
          <a:extLst xmlns:a="http://schemas.openxmlformats.org/drawingml/2006/main">
            <a:ext uri="{FF2B5EF4-FFF2-40B4-BE49-F238E27FC236}">
              <a16:creationId xmlns:a16="http://schemas.microsoft.com/office/drawing/2014/main" id="{83A6CF09-9373-6440-87BD-0F74A1C7428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19386" y="0"/>
          <a:ext cx="2420057" cy="373944"/>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0.2963</cdr:x>
      <cdr:y>0</cdr:y>
    </cdr:from>
    <cdr:to>
      <cdr:x>0.67643</cdr:x>
      <cdr:y>0.21484</cdr:y>
    </cdr:to>
    <cdr:pic>
      <cdr:nvPicPr>
        <cdr:cNvPr id="11" name="chart">
          <a:extLst xmlns:a="http://schemas.openxmlformats.org/drawingml/2006/main">
            <a:ext uri="{FF2B5EF4-FFF2-40B4-BE49-F238E27FC236}">
              <a16:creationId xmlns:a16="http://schemas.microsoft.com/office/drawing/2014/main" id="{2BE1D9CB-89B9-264B-DC86-DBCC123075C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411111" y="0"/>
          <a:ext cx="1810403" cy="388054"/>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0.33615</cdr:x>
      <cdr:y>0</cdr:y>
    </cdr:from>
    <cdr:to>
      <cdr:x>0.67496</cdr:x>
      <cdr:y>0.16667</cdr:y>
    </cdr:to>
    <cdr:pic>
      <cdr:nvPicPr>
        <cdr:cNvPr id="3" name="Picture 2">
          <a:extLst xmlns:a="http://schemas.openxmlformats.org/drawingml/2006/main">
            <a:ext uri="{FF2B5EF4-FFF2-40B4-BE49-F238E27FC236}">
              <a16:creationId xmlns:a16="http://schemas.microsoft.com/office/drawing/2014/main" id="{5537AFCE-0D2A-A3D7-ADE2-FE82C40BCC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781175" y="0"/>
          <a:ext cx="1795244" cy="46037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9.613483564812" createdVersion="8" refreshedVersion="8" minRefreshableVersion="3" recordCount="480" xr:uid="{2AD8DEF6-60D9-4684-99F3-EE790ED78FF3}">
  <cacheSource type="worksheet">
    <worksheetSource name="Table1"/>
  </cacheSource>
  <cacheFields count="16">
    <cacheField name="Transaction_ID" numFmtId="0">
      <sharedItems/>
    </cacheField>
    <cacheField name="Date" numFmtId="165">
      <sharedItems containsSemiMixedTypes="0" containsNonDate="0" containsDate="1" containsString="0" minDate="2024-01-04T00:00:00" maxDate="2024-12-29T00:00:00" count="265">
        <d v="2024-01-04T00:00:00"/>
        <d v="2024-01-05T00:00:00"/>
        <d v="2024-01-08T00:00:00"/>
        <d v="2024-01-09T00:00:00"/>
        <d v="2024-01-10T00:00:00"/>
        <d v="2024-01-11T00:00:00"/>
        <d v="2024-01-12T00:00:00"/>
        <d v="2024-01-17T00:00:00"/>
        <d v="2024-01-19T00:00:00"/>
        <d v="2024-01-20T00:00:00"/>
        <d v="2024-01-22T00:00:00"/>
        <d v="2024-01-23T00:00:00"/>
        <d v="2024-01-24T00:00:00"/>
        <d v="2024-01-26T00:00:00"/>
        <d v="2024-01-29T00:00:00"/>
        <d v="2024-01-30T00:00:00"/>
        <d v="2024-01-31T00:00:00"/>
        <d v="2024-02-02T00:00:00"/>
        <d v="2024-02-03T00:00:00"/>
        <d v="2024-02-05T00:00:00"/>
        <d v="2024-02-06T00:00:00"/>
        <d v="2024-02-07T00:00:00"/>
        <d v="2024-02-09T00:00:00"/>
        <d v="2024-02-14T00:00:00"/>
        <d v="2024-02-15T00:00:00"/>
        <d v="2024-02-17T00:00:00"/>
        <d v="2024-02-18T00:00:00"/>
        <d v="2024-02-19T00:00:00"/>
        <d v="2024-02-21T00:00:00"/>
        <d v="2024-02-22T00:00:00"/>
        <d v="2024-02-23T00:00:00"/>
        <d v="2024-02-24T00:00:00"/>
        <d v="2024-02-25T00:00:00"/>
        <d v="2024-02-28T00:00:00"/>
        <d v="2024-02-29T00:00:00"/>
        <d v="2024-03-03T00:00:00"/>
        <d v="2024-03-05T00:00:00"/>
        <d v="2024-03-07T00:00:00"/>
        <d v="2024-03-08T00:00:00"/>
        <d v="2024-03-09T00:00:00"/>
        <d v="2024-03-11T00:00:00"/>
        <d v="2024-03-12T00:00:00"/>
        <d v="2024-03-13T00:00:00"/>
        <d v="2024-03-14T00:00:00"/>
        <d v="2024-03-15T00:00:00"/>
        <d v="2024-03-16T00:00:00"/>
        <d v="2024-03-18T00:00:00"/>
        <d v="2024-03-19T00:00:00"/>
        <d v="2024-03-20T00:00:00"/>
        <d v="2024-03-21T00:00:00"/>
        <d v="2024-03-22T00:00:00"/>
        <d v="2024-03-23T00:00:00"/>
        <d v="2024-03-24T00:00:00"/>
        <d v="2024-03-26T00:00:00"/>
        <d v="2024-03-27T00:00:00"/>
        <d v="2024-03-28T00:00:00"/>
        <d v="2024-03-29T00:00:00"/>
        <d v="2024-03-31T00:00:00"/>
        <d v="2024-04-01T00:00:00"/>
        <d v="2024-04-02T00:00:00"/>
        <d v="2024-04-03T00:00:00"/>
        <d v="2024-04-05T00:00:00"/>
        <d v="2024-04-06T00:00:00"/>
        <d v="2024-04-07T00:00:00"/>
        <d v="2024-04-09T00:00:00"/>
        <d v="2024-04-10T00:00:00"/>
        <d v="2024-04-12T00:00:00"/>
        <d v="2024-04-14T00:00:00"/>
        <d v="2024-04-15T00:00:00"/>
        <d v="2024-04-17T00:00:00"/>
        <d v="2024-04-18T00:00:00"/>
        <d v="2024-04-19T00:00:00"/>
        <d v="2024-04-21T00:00:00"/>
        <d v="2024-04-23T00:00:00"/>
        <d v="2024-04-24T00:00:00"/>
        <d v="2024-04-25T00:00:00"/>
        <d v="2024-04-26T00:00:00"/>
        <d v="2024-04-27T00:00:00"/>
        <d v="2024-04-29T00:00:00"/>
        <d v="2024-04-30T00:00:00"/>
        <d v="2024-05-02T00:00:00"/>
        <d v="2024-05-03T00:00:00"/>
        <d v="2024-05-04T00:00:00"/>
        <d v="2024-05-06T00:00:00"/>
        <d v="2024-05-07T00:00:00"/>
        <d v="2024-05-08T00:00:00"/>
        <d v="2024-05-09T00:00:00"/>
        <d v="2024-05-10T00:00:00"/>
        <d v="2024-05-11T00:00:00"/>
        <d v="2024-05-12T00:00:00"/>
        <d v="2024-05-13T00:00:00"/>
        <d v="2024-05-15T00:00:00"/>
        <d v="2024-05-17T00:00:00"/>
        <d v="2024-05-19T00:00:00"/>
        <d v="2024-05-20T00:00:00"/>
        <d v="2024-05-21T00:00:00"/>
        <d v="2024-05-22T00:00:00"/>
        <d v="2024-05-23T00:00:00"/>
        <d v="2024-05-24T00:00:00"/>
        <d v="2024-05-25T00:00:00"/>
        <d v="2024-05-27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4T00:00:00"/>
        <d v="2024-06-17T00:00:00"/>
        <d v="2024-06-18T00:00:00"/>
        <d v="2024-06-20T00:00:00"/>
        <d v="2024-06-21T00:00:00"/>
        <d v="2024-06-22T00:00:00"/>
        <d v="2024-06-24T00:00:00"/>
        <d v="2024-06-25T00:00:00"/>
        <d v="2024-06-26T00:00:00"/>
        <d v="2024-06-27T00:00:00"/>
        <d v="2024-06-29T00:00:00"/>
        <d v="2024-06-30T00:00:00"/>
        <d v="2024-07-01T00:00:00"/>
        <d v="2024-07-02T00:00:00"/>
        <d v="2024-07-03T00:00:00"/>
        <d v="2024-07-04T00:00:00"/>
        <d v="2024-07-05T00:00:00"/>
        <d v="2024-07-06T00:00:00"/>
        <d v="2024-07-09T00:00:00"/>
        <d v="2024-07-10T00:00:00"/>
        <d v="2024-07-11T00:00:00"/>
        <d v="2024-07-13T00:00:00"/>
        <d v="2024-07-14T00:00:00"/>
        <d v="2024-07-16T00:00:00"/>
        <d v="2024-07-17T00:00:00"/>
        <d v="2024-07-18T00:00:00"/>
        <d v="2024-07-19T00:00:00"/>
        <d v="2024-07-20T00:00:00"/>
        <d v="2024-07-21T00:00:00"/>
        <d v="2024-07-22T00:00:00"/>
        <d v="2024-07-28T00:00:00"/>
        <d v="2024-07-30T00:00:00"/>
        <d v="2024-07-31T00:00:00"/>
        <d v="2024-08-01T00:00:00"/>
        <d v="2024-08-02T00:00:00"/>
        <d v="2024-08-03T00:00:00"/>
        <d v="2024-08-05T00:00:00"/>
        <d v="2024-08-07T00:00:00"/>
        <d v="2024-08-08T00:00:00"/>
        <d v="2024-08-09T00:00:00"/>
        <d v="2024-08-10T00:00:00"/>
        <d v="2024-08-11T00:00:00"/>
        <d v="2024-08-12T00:00:00"/>
        <d v="2024-08-13T00:00:00"/>
        <d v="2024-08-14T00:00:00"/>
        <d v="2024-08-16T00:00:00"/>
        <d v="2024-08-17T00:00:00"/>
        <d v="2024-08-19T00:00:00"/>
        <d v="2024-08-20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6T00:00:00"/>
        <d v="2024-09-17T00:00:00"/>
        <d v="2024-09-19T00:00:00"/>
        <d v="2024-09-21T00:00:00"/>
        <d v="2024-09-23T00:00:00"/>
        <d v="2024-09-24T00:00:00"/>
        <d v="2024-09-25T00:00:00"/>
        <d v="2024-09-27T00:00:00"/>
        <d v="2024-09-29T00:00:00"/>
        <d v="2024-09-30T00:00:00"/>
        <d v="2024-10-01T00:00:00"/>
        <d v="2024-10-02T00:00:00"/>
        <d v="2024-10-03T00:00:00"/>
        <d v="2024-10-05T00:00:00"/>
        <d v="2024-10-06T00:00:00"/>
        <d v="2024-10-07T00:00:00"/>
        <d v="2024-10-08T00:00:00"/>
        <d v="2024-10-10T00:00:00"/>
        <d v="2024-10-11T00:00:00"/>
        <d v="2024-10-12T00:00:00"/>
        <d v="2024-10-13T00:00:00"/>
        <d v="2024-10-14T00:00:00"/>
        <d v="2024-10-15T00:00:00"/>
        <d v="2024-10-16T00:00:00"/>
        <d v="2024-10-17T00:00:00"/>
        <d v="2024-10-20T00:00:00"/>
        <d v="2024-10-21T00:00:00"/>
        <d v="2024-10-22T00:00:00"/>
        <d v="2024-10-24T00:00:00"/>
        <d v="2024-10-25T00:00:00"/>
        <d v="2024-10-26T00:00:00"/>
        <d v="2024-10-27T00:00:00"/>
        <d v="2024-10-28T00:00:00"/>
        <d v="2024-10-30T00:00:00"/>
        <d v="2024-11-02T00:00:00"/>
        <d v="2024-11-03T00:00:00"/>
        <d v="2024-11-04T00:00:00"/>
        <d v="2024-11-05T00:00:00"/>
        <d v="2024-11-07T00:00:00"/>
        <d v="2024-11-08T00:00:00"/>
        <d v="2024-11-09T00:00:00"/>
        <d v="2024-11-10T00:00:00"/>
        <d v="2024-11-11T00:00:00"/>
        <d v="2024-11-13T00:00:00"/>
        <d v="2024-11-14T00:00:00"/>
        <d v="2024-11-16T00:00:00"/>
        <d v="2024-11-18T00:00:00"/>
        <d v="2024-11-20T00:00:00"/>
        <d v="2024-11-21T00:00:00"/>
        <d v="2024-11-23T00:00:00"/>
        <d v="2024-11-25T00:00:00"/>
        <d v="2024-11-26T00:00:00"/>
        <d v="2024-11-27T00:00:00"/>
        <d v="2024-11-28T00:00:00"/>
        <d v="2024-11-30T00:00:00"/>
        <d v="2024-12-01T00:00:00"/>
        <d v="2024-12-02T00:00:00"/>
        <d v="2024-12-03T00:00:00"/>
        <d v="2024-12-05T00:00:00"/>
        <d v="2024-12-08T00:00:00"/>
        <d v="2024-12-09T00:00:00"/>
        <d v="2024-12-10T00:00:00"/>
        <d v="2024-12-12T00:00:00"/>
        <d v="2024-12-13T00:00:00"/>
        <d v="2024-12-14T00:00:00"/>
        <d v="2024-12-16T00:00:00"/>
        <d v="2024-12-17T00:00:00"/>
        <d v="2024-12-18T00:00:00"/>
        <d v="2024-12-19T00:00:00"/>
        <d v="2024-12-21T00:00:00"/>
        <d v="2024-12-22T00:00:00"/>
        <d v="2024-12-23T00:00:00"/>
        <d v="2024-12-24T00:00:00"/>
        <d v="2024-12-25T00:00:00"/>
        <d v="2024-12-26T00:00:00"/>
        <d v="2024-12-27T00:00:00"/>
        <d v="2024-12-28T00:00:00"/>
      </sharedItems>
      <fieldGroup par="15"/>
    </cacheField>
    <cacheField name="Region" numFmtId="0">
      <sharedItems count="6">
        <s v="Kano"/>
        <s v="Lagos"/>
        <s v="Abuja"/>
        <s v="Portharcourt"/>
        <s v="Ibadan"/>
        <s v="Enugu"/>
      </sharedItems>
    </cacheField>
    <cacheField name="Sales_Rep" numFmtId="0">
      <sharedItems count="11">
        <s v="Kunle Adeyemi"/>
        <s v="Ngozi Okafor"/>
        <s v="Emeka Eze"/>
        <s v="Tunde Adesanya"/>
        <s v="Chidi Obiora"/>
        <s v="Uche Nnamdi"/>
        <s v="Fatima Bello"/>
        <s v="Amina Yusuf"/>
        <s v="Bose Adewale"/>
        <s v="Adaobi Nwosu"/>
        <s v="Unknown"/>
      </sharedItems>
    </cacheField>
    <cacheField name="Product_Category" numFmtId="0">
      <sharedItems count="4">
        <s v="Personal Care"/>
        <s v="Household"/>
        <s v="FMCG"/>
        <s v="Unknown"/>
      </sharedItems>
    </cacheField>
    <cacheField name="Product_Name" numFmtId="0">
      <sharedItems count="21">
        <s v="Lux Soap 200g"/>
        <s v="Nivea Cream 200ml"/>
        <s v="Ariel Detergent 900g"/>
        <s v="Pears Baby Soap 125g"/>
        <s v="Maggi Cube 100pcs"/>
        <s v="Indomie Noodles 70g"/>
        <s v="Canoe Soap 200g"/>
        <s v="Peak Milk Tin 400g"/>
        <s v="Honeywell Flour 1kg"/>
        <s v="Omo Washing Powder 500g"/>
        <s v="Dangote Sugar 1kg"/>
        <s v="Vaseline Petroleum Jelly 250ml"/>
        <s v="Morning Fresh Dishwash 500ml"/>
        <s v="Hypo Bleach 1l"/>
        <s v="Golden Penny Spaghetti 500g"/>
        <s v="Close-Up Toothpaste 150ml"/>
        <s v="Knorr Seasoning 100pcs"/>
        <s v="Dove Body lotion 400ml"/>
        <s v="Harpic Toilet Cleaner 500ml"/>
        <s v="Dettol Antiseptic 500ml"/>
        <s v="Milo 200g"/>
      </sharedItems>
    </cacheField>
    <cacheField name="Units_Sold" numFmtId="0">
      <sharedItems containsSemiMixedTypes="0" containsString="0" containsNumber="1" containsInteger="1" minValue="5" maxValue="200"/>
    </cacheField>
    <cacheField name="Unit_Price" numFmtId="166">
      <sharedItems containsSemiMixedTypes="0" containsString="0" containsNumber="1" containsInteger="1" minValue="0" maxValue="3500"/>
    </cacheField>
    <cacheField name="Revenue_NGN" numFmtId="166">
      <sharedItems containsSemiMixedTypes="0" containsString="0" containsNumber="1" containsInteger="1" minValue="0" maxValue="700000"/>
    </cacheField>
    <cacheField name="Returns" numFmtId="0">
      <sharedItems containsSemiMixedTypes="0" containsString="0" containsNumber="1" containsInteger="1" minValue="0" maxValue="20"/>
    </cacheField>
    <cacheField name="Returned Amount" numFmtId="166">
      <sharedItems containsSemiMixedTypes="0" containsString="0" containsNumber="1" containsInteger="1" minValue="0" maxValue="50400"/>
    </cacheField>
    <cacheField name="Net Unit Sold" numFmtId="0">
      <sharedItems containsSemiMixedTypes="0" containsString="0" containsNumber="1" containsInteger="1" minValue="5" maxValue="200"/>
    </cacheField>
    <cacheField name="Net Revenue" numFmtId="166">
      <sharedItems containsSemiMixedTypes="0" containsString="0" containsNumber="1" containsInteger="1" minValue="0" maxValue="700000"/>
    </cacheField>
    <cacheField name="Customer_Segment" numFmtId="0">
      <sharedItems/>
    </cacheField>
    <cacheField name="Days (Date)" numFmtId="0" databaseField="0">
      <fieldGroup base="1">
        <rangePr groupBy="days" startDate="2024-01-04T00:00:00" endDate="2024-12-29T00:00:00"/>
        <groupItems count="368">
          <s v="&lt;1/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4"/>
        </groupItems>
      </fieldGroup>
    </cacheField>
    <cacheField name="Months (Date)" numFmtId="0" databaseField="0">
      <fieldGroup base="1">
        <rangePr groupBy="months" startDate="2024-01-04T00:00:00" endDate="2024-12-29T00:00:00"/>
        <groupItems count="14">
          <s v="&lt;1/4/2024"/>
          <s v="Jan"/>
          <s v="Feb"/>
          <s v="Mar"/>
          <s v="Apr"/>
          <s v="May"/>
          <s v="Jun"/>
          <s v="Jul"/>
          <s v="Aug"/>
          <s v="Sep"/>
          <s v="Oct"/>
          <s v="Nov"/>
          <s v="Dec"/>
          <s v="&gt;12/29/2024"/>
        </groupItems>
      </fieldGroup>
    </cacheField>
  </cacheFields>
  <extLst>
    <ext xmlns:x14="http://schemas.microsoft.com/office/spreadsheetml/2009/9/main" uri="{725AE2AE-9491-48be-B2B4-4EB974FC3084}">
      <x14:pivotCacheDefinition pivotCacheId="1046309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s v="VCG-2024-0282"/>
    <x v="0"/>
    <x v="0"/>
    <x v="0"/>
    <x v="0"/>
    <x v="0"/>
    <n v="51"/>
    <n v="500"/>
    <n v="25500"/>
    <n v="1"/>
    <n v="500"/>
    <n v="50"/>
    <n v="25000"/>
    <s v="Wholesale"/>
  </r>
  <r>
    <s v="VCG-2024-0009"/>
    <x v="0"/>
    <x v="1"/>
    <x v="1"/>
    <x v="0"/>
    <x v="1"/>
    <n v="160"/>
    <n v="2800"/>
    <n v="448000"/>
    <n v="16"/>
    <n v="44800"/>
    <n v="144"/>
    <n v="403200"/>
    <s v="Retail"/>
  </r>
  <r>
    <s v="VCG-2024-0307"/>
    <x v="0"/>
    <x v="2"/>
    <x v="2"/>
    <x v="1"/>
    <x v="2"/>
    <n v="30"/>
    <n v="2200"/>
    <n v="66000"/>
    <n v="3"/>
    <n v="6600"/>
    <n v="27"/>
    <n v="59400"/>
    <s v="Distributor"/>
  </r>
  <r>
    <s v="VCG-2024-0434"/>
    <x v="1"/>
    <x v="3"/>
    <x v="3"/>
    <x v="0"/>
    <x v="3"/>
    <n v="104"/>
    <n v="450"/>
    <n v="46800"/>
    <n v="0"/>
    <n v="0"/>
    <n v="104"/>
    <n v="46800"/>
    <s v="Retail"/>
  </r>
  <r>
    <s v="VCG-2024-0015"/>
    <x v="1"/>
    <x v="4"/>
    <x v="4"/>
    <x v="2"/>
    <x v="4"/>
    <n v="20"/>
    <n v="0"/>
    <n v="0"/>
    <n v="1"/>
    <n v="0"/>
    <n v="19"/>
    <n v="0"/>
    <s v="Wholesale"/>
  </r>
  <r>
    <s v="VCG-2024-0142"/>
    <x v="2"/>
    <x v="2"/>
    <x v="3"/>
    <x v="2"/>
    <x v="4"/>
    <n v="150"/>
    <n v="900"/>
    <n v="135000"/>
    <n v="8"/>
    <n v="7200"/>
    <n v="142"/>
    <n v="127800"/>
    <s v="Distributor"/>
  </r>
  <r>
    <s v="VCG-2024-0328"/>
    <x v="3"/>
    <x v="5"/>
    <x v="4"/>
    <x v="0"/>
    <x v="3"/>
    <n v="100"/>
    <n v="450"/>
    <n v="45000"/>
    <n v="0"/>
    <n v="0"/>
    <n v="100"/>
    <n v="45000"/>
    <s v="Unknown"/>
  </r>
  <r>
    <s v="VCG-2024-0440"/>
    <x v="3"/>
    <x v="2"/>
    <x v="1"/>
    <x v="2"/>
    <x v="5"/>
    <n v="77"/>
    <n v="200"/>
    <n v="15400"/>
    <n v="3"/>
    <n v="600"/>
    <n v="74"/>
    <n v="14800"/>
    <s v="Retail"/>
  </r>
  <r>
    <s v="VCG-2024-0274"/>
    <x v="4"/>
    <x v="0"/>
    <x v="5"/>
    <x v="1"/>
    <x v="6"/>
    <n v="106"/>
    <n v="400"/>
    <n v="42400"/>
    <n v="5"/>
    <n v="2000"/>
    <n v="101"/>
    <n v="40400"/>
    <s v="Distributor"/>
  </r>
  <r>
    <s v="VCG-2024-0118"/>
    <x v="5"/>
    <x v="5"/>
    <x v="5"/>
    <x v="2"/>
    <x v="7"/>
    <n v="154"/>
    <n v="1800"/>
    <n v="277200"/>
    <n v="12"/>
    <n v="21600"/>
    <n v="142"/>
    <n v="255600"/>
    <s v="Retail"/>
  </r>
  <r>
    <s v="VCG-2024-0312"/>
    <x v="5"/>
    <x v="2"/>
    <x v="1"/>
    <x v="2"/>
    <x v="8"/>
    <n v="61"/>
    <n v="1100"/>
    <n v="67100"/>
    <n v="6"/>
    <n v="6600"/>
    <n v="55"/>
    <n v="60500"/>
    <s v="Wholesale"/>
  </r>
  <r>
    <s v="VCG-2024-0277"/>
    <x v="5"/>
    <x v="2"/>
    <x v="4"/>
    <x v="1"/>
    <x v="9"/>
    <n v="56"/>
    <n v="1600"/>
    <n v="89600"/>
    <n v="0"/>
    <n v="0"/>
    <n v="56"/>
    <n v="89600"/>
    <s v="Distributor"/>
  </r>
  <r>
    <s v="VCG-2024-0084"/>
    <x v="6"/>
    <x v="4"/>
    <x v="4"/>
    <x v="0"/>
    <x v="1"/>
    <n v="119"/>
    <n v="2800"/>
    <n v="333200"/>
    <n v="5"/>
    <n v="14000"/>
    <n v="114"/>
    <n v="319200"/>
    <s v="Wholesale"/>
  </r>
  <r>
    <s v="VCG-2024-0135"/>
    <x v="7"/>
    <x v="0"/>
    <x v="5"/>
    <x v="2"/>
    <x v="10"/>
    <n v="57"/>
    <n v="1400"/>
    <n v="79800"/>
    <n v="0"/>
    <n v="0"/>
    <n v="57"/>
    <n v="79800"/>
    <s v="Wholesale"/>
  </r>
  <r>
    <s v="VCG-2024-0365"/>
    <x v="7"/>
    <x v="1"/>
    <x v="6"/>
    <x v="0"/>
    <x v="11"/>
    <n v="131"/>
    <n v="1200"/>
    <n v="157200"/>
    <n v="11"/>
    <n v="13200"/>
    <n v="120"/>
    <n v="144000"/>
    <s v="Retail"/>
  </r>
  <r>
    <s v="VCG-2024-0185"/>
    <x v="8"/>
    <x v="0"/>
    <x v="0"/>
    <x v="1"/>
    <x v="2"/>
    <n v="111"/>
    <n v="2200"/>
    <n v="244200"/>
    <n v="1"/>
    <n v="2200"/>
    <n v="110"/>
    <n v="242000"/>
    <s v="Distributor"/>
  </r>
  <r>
    <s v="VCG-2024-0125"/>
    <x v="9"/>
    <x v="2"/>
    <x v="7"/>
    <x v="2"/>
    <x v="7"/>
    <n v="106"/>
    <n v="1800"/>
    <n v="190800"/>
    <n v="4"/>
    <n v="7200"/>
    <n v="102"/>
    <n v="183600"/>
    <s v="Retail"/>
  </r>
  <r>
    <s v="VCG-2024-0086"/>
    <x v="10"/>
    <x v="5"/>
    <x v="0"/>
    <x v="1"/>
    <x v="12"/>
    <n v="126"/>
    <n v="1200"/>
    <n v="151200"/>
    <n v="5"/>
    <n v="6000"/>
    <n v="121"/>
    <n v="145200"/>
    <s v="Retail"/>
  </r>
  <r>
    <s v="VCG-2024-0389"/>
    <x v="11"/>
    <x v="4"/>
    <x v="8"/>
    <x v="2"/>
    <x v="4"/>
    <n v="140"/>
    <n v="900"/>
    <n v="126000"/>
    <n v="0"/>
    <n v="0"/>
    <n v="140"/>
    <n v="126000"/>
    <s v="Unknown"/>
  </r>
  <r>
    <s v="VCG-2024-0451"/>
    <x v="11"/>
    <x v="4"/>
    <x v="3"/>
    <x v="0"/>
    <x v="3"/>
    <n v="150"/>
    <n v="450"/>
    <n v="67500"/>
    <n v="0"/>
    <n v="0"/>
    <n v="150"/>
    <n v="67500"/>
    <s v="Retail"/>
  </r>
  <r>
    <s v="VCG-2024-0186"/>
    <x v="12"/>
    <x v="1"/>
    <x v="4"/>
    <x v="1"/>
    <x v="13"/>
    <n v="84"/>
    <n v="700"/>
    <n v="58800"/>
    <n v="4"/>
    <n v="2800"/>
    <n v="80"/>
    <n v="56000"/>
    <s v="Distributor"/>
  </r>
  <r>
    <s v="VCG-2024-0173"/>
    <x v="12"/>
    <x v="4"/>
    <x v="9"/>
    <x v="2"/>
    <x v="14"/>
    <n v="117"/>
    <n v="650"/>
    <n v="76050"/>
    <n v="2"/>
    <n v="1300"/>
    <n v="115"/>
    <n v="74750"/>
    <s v="Wholesale"/>
  </r>
  <r>
    <s v="VCG-2024-0079"/>
    <x v="13"/>
    <x v="3"/>
    <x v="4"/>
    <x v="0"/>
    <x v="15"/>
    <n v="129"/>
    <n v="900"/>
    <n v="116100"/>
    <n v="5"/>
    <n v="4500"/>
    <n v="124"/>
    <n v="111600"/>
    <s v="Distributor"/>
  </r>
  <r>
    <s v="VCG-2024-0136"/>
    <x v="14"/>
    <x v="3"/>
    <x v="0"/>
    <x v="0"/>
    <x v="1"/>
    <n v="86"/>
    <n v="2800"/>
    <n v="240800"/>
    <n v="0"/>
    <n v="0"/>
    <n v="86"/>
    <n v="240800"/>
    <s v="Retail"/>
  </r>
  <r>
    <s v="VCG-2024-0108"/>
    <x v="14"/>
    <x v="4"/>
    <x v="6"/>
    <x v="1"/>
    <x v="2"/>
    <n v="46"/>
    <n v="2200"/>
    <n v="101200"/>
    <n v="2"/>
    <n v="4400"/>
    <n v="44"/>
    <n v="96800"/>
    <s v="Retail"/>
  </r>
  <r>
    <s v="VCG-2024-0102"/>
    <x v="15"/>
    <x v="0"/>
    <x v="3"/>
    <x v="0"/>
    <x v="3"/>
    <n v="178"/>
    <n v="450"/>
    <n v="80100"/>
    <n v="14"/>
    <n v="6300"/>
    <n v="164"/>
    <n v="73800"/>
    <s v="Retail"/>
  </r>
  <r>
    <s v="VCG-2024-0408"/>
    <x v="15"/>
    <x v="4"/>
    <x v="6"/>
    <x v="1"/>
    <x v="2"/>
    <n v="18"/>
    <n v="2200"/>
    <n v="39600"/>
    <n v="1"/>
    <n v="2200"/>
    <n v="17"/>
    <n v="37400"/>
    <s v="Wholesale"/>
  </r>
  <r>
    <s v="VCG-2024-0180"/>
    <x v="16"/>
    <x v="0"/>
    <x v="8"/>
    <x v="1"/>
    <x v="6"/>
    <n v="187"/>
    <n v="400"/>
    <n v="74800"/>
    <n v="0"/>
    <n v="0"/>
    <n v="187"/>
    <n v="74800"/>
    <s v="Distributor"/>
  </r>
  <r>
    <s v="VCG-2024-0321"/>
    <x v="16"/>
    <x v="5"/>
    <x v="1"/>
    <x v="2"/>
    <x v="16"/>
    <n v="172"/>
    <n v="850"/>
    <n v="146200"/>
    <n v="11"/>
    <n v="9350"/>
    <n v="161"/>
    <n v="136850"/>
    <s v="Retail"/>
  </r>
  <r>
    <s v="VCG-2024-0303"/>
    <x v="16"/>
    <x v="2"/>
    <x v="10"/>
    <x v="2"/>
    <x v="14"/>
    <n v="129"/>
    <n v="650"/>
    <n v="83850"/>
    <n v="12"/>
    <n v="7800"/>
    <n v="117"/>
    <n v="76050"/>
    <s v="Distributor"/>
  </r>
  <r>
    <s v="VCG-2024-0172"/>
    <x v="17"/>
    <x v="0"/>
    <x v="0"/>
    <x v="1"/>
    <x v="13"/>
    <n v="59"/>
    <n v="700"/>
    <n v="41300"/>
    <n v="1"/>
    <n v="700"/>
    <n v="58"/>
    <n v="40600"/>
    <s v="Distributor"/>
  </r>
  <r>
    <s v="VCG-2024-0236"/>
    <x v="17"/>
    <x v="3"/>
    <x v="9"/>
    <x v="0"/>
    <x v="3"/>
    <n v="139"/>
    <n v="450"/>
    <n v="62550"/>
    <n v="10"/>
    <n v="4500"/>
    <n v="129"/>
    <n v="58050"/>
    <s v="Wholesale"/>
  </r>
  <r>
    <s v="VCG-2024-0462"/>
    <x v="17"/>
    <x v="0"/>
    <x v="4"/>
    <x v="2"/>
    <x v="16"/>
    <n v="164"/>
    <n v="850"/>
    <n v="139400"/>
    <n v="0"/>
    <n v="0"/>
    <n v="164"/>
    <n v="139400"/>
    <s v="Wholesale"/>
  </r>
  <r>
    <s v="VCG-2024-0285"/>
    <x v="18"/>
    <x v="4"/>
    <x v="3"/>
    <x v="0"/>
    <x v="17"/>
    <n v="8"/>
    <n v="3500"/>
    <n v="28000"/>
    <n v="1"/>
    <n v="3500"/>
    <n v="7"/>
    <n v="24500"/>
    <s v="Retail"/>
  </r>
  <r>
    <s v="VCG-2024-0191"/>
    <x v="18"/>
    <x v="3"/>
    <x v="5"/>
    <x v="2"/>
    <x v="10"/>
    <n v="88"/>
    <n v="1400"/>
    <n v="123200"/>
    <n v="0"/>
    <n v="0"/>
    <n v="88"/>
    <n v="123200"/>
    <s v="Wholesale"/>
  </r>
  <r>
    <s v="VCG-2024-0264"/>
    <x v="19"/>
    <x v="5"/>
    <x v="6"/>
    <x v="0"/>
    <x v="11"/>
    <n v="119"/>
    <n v="1200"/>
    <n v="142800"/>
    <n v="2"/>
    <n v="2400"/>
    <n v="117"/>
    <n v="140400"/>
    <s v="Distributor"/>
  </r>
  <r>
    <s v="VCG-2024-0455"/>
    <x v="20"/>
    <x v="2"/>
    <x v="1"/>
    <x v="2"/>
    <x v="4"/>
    <n v="80"/>
    <n v="900"/>
    <n v="72000"/>
    <n v="8"/>
    <n v="7200"/>
    <n v="72"/>
    <n v="64800"/>
    <s v="Distributor"/>
  </r>
  <r>
    <s v="VCG-2024-0012"/>
    <x v="20"/>
    <x v="1"/>
    <x v="0"/>
    <x v="2"/>
    <x v="7"/>
    <n v="89"/>
    <n v="1800"/>
    <n v="160200"/>
    <n v="0"/>
    <n v="0"/>
    <n v="89"/>
    <n v="160200"/>
    <s v="Retail"/>
  </r>
  <r>
    <s v="VCG-2024-0357"/>
    <x v="21"/>
    <x v="3"/>
    <x v="9"/>
    <x v="2"/>
    <x v="4"/>
    <n v="184"/>
    <n v="900"/>
    <n v="165600"/>
    <n v="13"/>
    <n v="11700"/>
    <n v="171"/>
    <n v="153900"/>
    <s v="Distributor"/>
  </r>
  <r>
    <s v="VCG-2024-0268"/>
    <x v="22"/>
    <x v="2"/>
    <x v="7"/>
    <x v="2"/>
    <x v="10"/>
    <n v="16"/>
    <n v="1400"/>
    <n v="22400"/>
    <n v="0"/>
    <n v="0"/>
    <n v="16"/>
    <n v="22400"/>
    <s v="Retail"/>
  </r>
  <r>
    <s v="VCG-2024-0032"/>
    <x v="22"/>
    <x v="3"/>
    <x v="1"/>
    <x v="1"/>
    <x v="18"/>
    <n v="143"/>
    <n v="1500"/>
    <n v="214500"/>
    <n v="0"/>
    <n v="0"/>
    <n v="143"/>
    <n v="214500"/>
    <s v="Wholesale"/>
  </r>
  <r>
    <s v="VCG-2024-0411"/>
    <x v="22"/>
    <x v="0"/>
    <x v="6"/>
    <x v="1"/>
    <x v="12"/>
    <n v="138"/>
    <n v="1200"/>
    <n v="165600"/>
    <n v="0"/>
    <n v="0"/>
    <n v="138"/>
    <n v="165600"/>
    <s v="Retail"/>
  </r>
  <r>
    <s v="VCG-2024-0105"/>
    <x v="23"/>
    <x v="3"/>
    <x v="3"/>
    <x v="0"/>
    <x v="17"/>
    <n v="145"/>
    <n v="3500"/>
    <n v="507500"/>
    <n v="14"/>
    <n v="49000"/>
    <n v="131"/>
    <n v="458500"/>
    <s v="Retail"/>
  </r>
  <r>
    <s v="VCG-2024-0382"/>
    <x v="24"/>
    <x v="3"/>
    <x v="3"/>
    <x v="1"/>
    <x v="9"/>
    <n v="147"/>
    <n v="1600"/>
    <n v="235200"/>
    <n v="0"/>
    <n v="0"/>
    <n v="147"/>
    <n v="235200"/>
    <s v="Wholesale"/>
  </r>
  <r>
    <s v="VCG-2024-0441"/>
    <x v="24"/>
    <x v="2"/>
    <x v="1"/>
    <x v="0"/>
    <x v="11"/>
    <n v="17"/>
    <n v="1200"/>
    <n v="20400"/>
    <n v="0"/>
    <n v="0"/>
    <n v="17"/>
    <n v="20400"/>
    <s v="Unknown"/>
  </r>
  <r>
    <s v="VCG-2024-0345"/>
    <x v="25"/>
    <x v="1"/>
    <x v="4"/>
    <x v="0"/>
    <x v="11"/>
    <n v="53"/>
    <n v="1200"/>
    <n v="63600"/>
    <n v="2"/>
    <n v="2400"/>
    <n v="51"/>
    <n v="61200"/>
    <s v="Retail"/>
  </r>
  <r>
    <s v="VCG-2024-0170"/>
    <x v="26"/>
    <x v="0"/>
    <x v="9"/>
    <x v="1"/>
    <x v="13"/>
    <n v="172"/>
    <n v="700"/>
    <n v="120400"/>
    <n v="7"/>
    <n v="4900"/>
    <n v="165"/>
    <n v="115500"/>
    <s v="Distributor"/>
  </r>
  <r>
    <s v="VCG-2024-0313"/>
    <x v="26"/>
    <x v="0"/>
    <x v="6"/>
    <x v="2"/>
    <x v="8"/>
    <n v="98"/>
    <n v="1100"/>
    <n v="107800"/>
    <n v="9"/>
    <n v="9900"/>
    <n v="89"/>
    <n v="97900"/>
    <s v="Distributor"/>
  </r>
  <r>
    <s v="VCG-2024-0189"/>
    <x v="26"/>
    <x v="0"/>
    <x v="2"/>
    <x v="0"/>
    <x v="1"/>
    <n v="20"/>
    <n v="2800"/>
    <n v="56000"/>
    <n v="0"/>
    <n v="0"/>
    <n v="20"/>
    <n v="56000"/>
    <s v="Wholesale"/>
  </r>
  <r>
    <s v="VCG-2024-0067"/>
    <x v="27"/>
    <x v="5"/>
    <x v="6"/>
    <x v="1"/>
    <x v="19"/>
    <n v="99"/>
    <n v="1800"/>
    <n v="178200"/>
    <n v="2"/>
    <n v="3600"/>
    <n v="97"/>
    <n v="174600"/>
    <s v="Distributor"/>
  </r>
  <r>
    <s v="VCG-2024-0003"/>
    <x v="27"/>
    <x v="0"/>
    <x v="5"/>
    <x v="1"/>
    <x v="13"/>
    <n v="16"/>
    <n v="700"/>
    <n v="11200"/>
    <n v="1"/>
    <n v="700"/>
    <n v="15"/>
    <n v="10500"/>
    <s v="Distributor"/>
  </r>
  <r>
    <s v="VCG-2024-0161"/>
    <x v="27"/>
    <x v="4"/>
    <x v="3"/>
    <x v="2"/>
    <x v="8"/>
    <n v="16"/>
    <n v="1100"/>
    <n v="17600"/>
    <n v="0"/>
    <n v="0"/>
    <n v="16"/>
    <n v="17600"/>
    <s v="Wholesale"/>
  </r>
  <r>
    <s v="VCG-2024-0057"/>
    <x v="28"/>
    <x v="4"/>
    <x v="2"/>
    <x v="0"/>
    <x v="15"/>
    <n v="8"/>
    <n v="900"/>
    <n v="7200"/>
    <n v="0"/>
    <n v="0"/>
    <n v="8"/>
    <n v="7200"/>
    <s v="Distributor"/>
  </r>
  <r>
    <s v="VCG-2024-0177"/>
    <x v="28"/>
    <x v="1"/>
    <x v="5"/>
    <x v="0"/>
    <x v="15"/>
    <n v="94"/>
    <n v="900"/>
    <n v="84600"/>
    <n v="0"/>
    <n v="0"/>
    <n v="94"/>
    <n v="84600"/>
    <s v="Retail"/>
  </r>
  <r>
    <s v="VCG-2024-0090"/>
    <x v="28"/>
    <x v="5"/>
    <x v="8"/>
    <x v="2"/>
    <x v="5"/>
    <n v="163"/>
    <n v="200"/>
    <n v="32600"/>
    <n v="5"/>
    <n v="1000"/>
    <n v="158"/>
    <n v="31600"/>
    <s v="Distributor"/>
  </r>
  <r>
    <s v="VCG-2024-0239"/>
    <x v="29"/>
    <x v="1"/>
    <x v="8"/>
    <x v="0"/>
    <x v="17"/>
    <n v="28"/>
    <n v="3500"/>
    <n v="98000"/>
    <n v="2"/>
    <n v="7000"/>
    <n v="26"/>
    <n v="91000"/>
    <s v="Wholesale"/>
  </r>
  <r>
    <s v="VCG-2024-0101"/>
    <x v="29"/>
    <x v="3"/>
    <x v="1"/>
    <x v="1"/>
    <x v="12"/>
    <n v="188"/>
    <n v="1200"/>
    <n v="225600"/>
    <n v="0"/>
    <n v="0"/>
    <n v="188"/>
    <n v="225600"/>
    <s v="Wholesale"/>
  </r>
  <r>
    <s v="VCG-2024-0348"/>
    <x v="29"/>
    <x v="0"/>
    <x v="8"/>
    <x v="1"/>
    <x v="18"/>
    <n v="41"/>
    <n v="1500"/>
    <n v="61500"/>
    <n v="0"/>
    <n v="0"/>
    <n v="41"/>
    <n v="61500"/>
    <s v="Wholesale"/>
  </r>
  <r>
    <s v="VCG-2024-0188"/>
    <x v="30"/>
    <x v="3"/>
    <x v="7"/>
    <x v="1"/>
    <x v="9"/>
    <n v="41"/>
    <n v="1600"/>
    <n v="65600"/>
    <n v="4"/>
    <n v="6400"/>
    <n v="37"/>
    <n v="59200"/>
    <s v="Distributor"/>
  </r>
  <r>
    <s v="VCG-2024-0213"/>
    <x v="31"/>
    <x v="1"/>
    <x v="1"/>
    <x v="0"/>
    <x v="0"/>
    <n v="110"/>
    <n v="500"/>
    <n v="55000"/>
    <n v="2"/>
    <n v="1000"/>
    <n v="108"/>
    <n v="54000"/>
    <s v="Wholesale"/>
  </r>
  <r>
    <s v="VCG-2024-0030"/>
    <x v="31"/>
    <x v="3"/>
    <x v="6"/>
    <x v="0"/>
    <x v="1"/>
    <n v="123"/>
    <n v="2800"/>
    <n v="344400"/>
    <n v="12"/>
    <n v="33600"/>
    <n v="111"/>
    <n v="310800"/>
    <s v="Distributor"/>
  </r>
  <r>
    <s v="VCG-2024-0123"/>
    <x v="32"/>
    <x v="5"/>
    <x v="0"/>
    <x v="3"/>
    <x v="7"/>
    <n v="176"/>
    <n v="1800"/>
    <n v="316800"/>
    <n v="0"/>
    <n v="0"/>
    <n v="176"/>
    <n v="316800"/>
    <s v="Wholesale"/>
  </r>
  <r>
    <s v="VCG-2024-0082"/>
    <x v="33"/>
    <x v="3"/>
    <x v="6"/>
    <x v="0"/>
    <x v="15"/>
    <n v="181"/>
    <n v="900"/>
    <n v="162900"/>
    <n v="0"/>
    <n v="0"/>
    <n v="181"/>
    <n v="162900"/>
    <s v="Distributor"/>
  </r>
  <r>
    <s v="VCG-2024-0366"/>
    <x v="34"/>
    <x v="4"/>
    <x v="7"/>
    <x v="3"/>
    <x v="18"/>
    <n v="126"/>
    <n v="1500"/>
    <n v="189000"/>
    <n v="11"/>
    <n v="16500"/>
    <n v="115"/>
    <n v="172500"/>
    <s v="Distributor"/>
  </r>
  <r>
    <s v="VCG-2024-0208"/>
    <x v="34"/>
    <x v="0"/>
    <x v="4"/>
    <x v="1"/>
    <x v="6"/>
    <n v="72"/>
    <n v="400"/>
    <n v="28800"/>
    <n v="5"/>
    <n v="2000"/>
    <n v="67"/>
    <n v="26800"/>
    <s v="Retail"/>
  </r>
  <r>
    <s v="VCG-2024-0025"/>
    <x v="34"/>
    <x v="3"/>
    <x v="6"/>
    <x v="0"/>
    <x v="0"/>
    <n v="14"/>
    <n v="500"/>
    <n v="7000"/>
    <n v="0"/>
    <n v="0"/>
    <n v="14"/>
    <n v="7000"/>
    <s v="Distributor"/>
  </r>
  <r>
    <s v="VCG-2024-0289"/>
    <x v="35"/>
    <x v="5"/>
    <x v="0"/>
    <x v="0"/>
    <x v="1"/>
    <n v="171"/>
    <n v="2800"/>
    <n v="478800"/>
    <n v="16"/>
    <n v="44800"/>
    <n v="155"/>
    <n v="434000"/>
    <s v="Distributor"/>
  </r>
  <r>
    <s v="VCG-2024-0374"/>
    <x v="35"/>
    <x v="0"/>
    <x v="3"/>
    <x v="0"/>
    <x v="0"/>
    <n v="107"/>
    <n v="500"/>
    <n v="53500"/>
    <n v="5"/>
    <n v="2500"/>
    <n v="102"/>
    <n v="51000"/>
    <s v="Retail"/>
  </r>
  <r>
    <s v="VCG-2024-0338"/>
    <x v="35"/>
    <x v="3"/>
    <x v="3"/>
    <x v="0"/>
    <x v="15"/>
    <n v="139"/>
    <n v="900"/>
    <n v="125100"/>
    <n v="8"/>
    <n v="7200"/>
    <n v="131"/>
    <n v="117900"/>
    <s v="Retail"/>
  </r>
  <r>
    <s v="VCG-2024-0138"/>
    <x v="36"/>
    <x v="3"/>
    <x v="6"/>
    <x v="1"/>
    <x v="9"/>
    <n v="148"/>
    <n v="1600"/>
    <n v="236800"/>
    <n v="4"/>
    <n v="6400"/>
    <n v="144"/>
    <n v="230400"/>
    <s v="Wholesale"/>
  </r>
  <r>
    <s v="VCG-2024-0278"/>
    <x v="37"/>
    <x v="1"/>
    <x v="6"/>
    <x v="2"/>
    <x v="8"/>
    <n v="107"/>
    <n v="1100"/>
    <n v="117700"/>
    <n v="1"/>
    <n v="1100"/>
    <n v="106"/>
    <n v="116600"/>
    <s v="Retail"/>
  </r>
  <r>
    <s v="VCG-2024-0358"/>
    <x v="37"/>
    <x v="2"/>
    <x v="1"/>
    <x v="0"/>
    <x v="11"/>
    <n v="39"/>
    <n v="1200"/>
    <n v="46800"/>
    <n v="0"/>
    <n v="0"/>
    <n v="39"/>
    <n v="46800"/>
    <s v="Distributor"/>
  </r>
  <r>
    <s v="VCG-2024-0476"/>
    <x v="37"/>
    <x v="2"/>
    <x v="7"/>
    <x v="1"/>
    <x v="9"/>
    <n v="28"/>
    <n v="1600"/>
    <n v="44800"/>
    <n v="1"/>
    <n v="1600"/>
    <n v="27"/>
    <n v="43200"/>
    <s v="Distributor"/>
  </r>
  <r>
    <s v="VCG-2024-0396"/>
    <x v="38"/>
    <x v="1"/>
    <x v="1"/>
    <x v="2"/>
    <x v="20"/>
    <n v="10"/>
    <n v="1200"/>
    <n v="12000"/>
    <n v="1"/>
    <n v="1200"/>
    <n v="9"/>
    <n v="10800"/>
    <s v="Distributor"/>
  </r>
  <r>
    <s v="VCG-2024-0036"/>
    <x v="38"/>
    <x v="1"/>
    <x v="4"/>
    <x v="2"/>
    <x v="7"/>
    <n v="94"/>
    <n v="1800"/>
    <n v="169200"/>
    <n v="0"/>
    <n v="0"/>
    <n v="94"/>
    <n v="169200"/>
    <s v="Unknown"/>
  </r>
  <r>
    <s v="VCG-2024-0353"/>
    <x v="39"/>
    <x v="3"/>
    <x v="0"/>
    <x v="0"/>
    <x v="1"/>
    <n v="115"/>
    <n v="2800"/>
    <n v="322000"/>
    <n v="3"/>
    <n v="8400"/>
    <n v="112"/>
    <n v="313600"/>
    <s v="Retail"/>
  </r>
  <r>
    <s v="VCG-2024-0480"/>
    <x v="39"/>
    <x v="5"/>
    <x v="4"/>
    <x v="1"/>
    <x v="13"/>
    <n v="101"/>
    <n v="700"/>
    <n v="70700"/>
    <n v="8"/>
    <n v="5600"/>
    <n v="93"/>
    <n v="65100"/>
    <s v="Distributor"/>
  </r>
  <r>
    <s v="VCG-2024-0271"/>
    <x v="40"/>
    <x v="5"/>
    <x v="8"/>
    <x v="2"/>
    <x v="20"/>
    <n v="128"/>
    <n v="1200"/>
    <n v="153600"/>
    <n v="0"/>
    <n v="0"/>
    <n v="128"/>
    <n v="153600"/>
    <s v="Distributor"/>
  </r>
  <r>
    <s v="VCG-2024-0262"/>
    <x v="41"/>
    <x v="2"/>
    <x v="1"/>
    <x v="0"/>
    <x v="3"/>
    <n v="24"/>
    <n v="450"/>
    <n v="10800"/>
    <n v="2"/>
    <n v="900"/>
    <n v="22"/>
    <n v="9900"/>
    <s v="Distributor"/>
  </r>
  <r>
    <s v="VCG-2024-0063"/>
    <x v="41"/>
    <x v="2"/>
    <x v="2"/>
    <x v="0"/>
    <x v="3"/>
    <n v="15"/>
    <n v="450"/>
    <n v="6750"/>
    <n v="0"/>
    <n v="0"/>
    <n v="15"/>
    <n v="6750"/>
    <s v="Wholesale"/>
  </r>
  <r>
    <s v="VCG-2024-0072"/>
    <x v="41"/>
    <x v="4"/>
    <x v="9"/>
    <x v="2"/>
    <x v="16"/>
    <n v="107"/>
    <n v="850"/>
    <n v="90950"/>
    <n v="1"/>
    <n v="850"/>
    <n v="106"/>
    <n v="90100"/>
    <s v="Wholesale"/>
  </r>
  <r>
    <s v="VCG-2024-0078"/>
    <x v="42"/>
    <x v="1"/>
    <x v="2"/>
    <x v="0"/>
    <x v="1"/>
    <n v="60"/>
    <n v="2800"/>
    <n v="168000"/>
    <n v="2"/>
    <n v="5600"/>
    <n v="58"/>
    <n v="162400"/>
    <s v="Distributor"/>
  </r>
  <r>
    <s v="VCG-2024-0096"/>
    <x v="43"/>
    <x v="1"/>
    <x v="5"/>
    <x v="1"/>
    <x v="2"/>
    <n v="151"/>
    <n v="2200"/>
    <n v="332200"/>
    <n v="2"/>
    <n v="4400"/>
    <n v="149"/>
    <n v="327800"/>
    <s v="Distributor"/>
  </r>
  <r>
    <s v="VCG-2024-0400"/>
    <x v="44"/>
    <x v="3"/>
    <x v="6"/>
    <x v="2"/>
    <x v="5"/>
    <n v="170"/>
    <n v="200"/>
    <n v="34000"/>
    <n v="4"/>
    <n v="800"/>
    <n v="166"/>
    <n v="33200"/>
    <s v="Distributor"/>
  </r>
  <r>
    <s v="VCG-2024-0070"/>
    <x v="45"/>
    <x v="5"/>
    <x v="9"/>
    <x v="1"/>
    <x v="13"/>
    <n v="42"/>
    <n v="700"/>
    <n v="29400"/>
    <n v="0"/>
    <n v="0"/>
    <n v="42"/>
    <n v="29400"/>
    <s v="Retail"/>
  </r>
  <r>
    <s v="VCG-2024-0469"/>
    <x v="46"/>
    <x v="4"/>
    <x v="7"/>
    <x v="2"/>
    <x v="14"/>
    <n v="114"/>
    <n v="650"/>
    <n v="74100"/>
    <n v="10"/>
    <n v="6500"/>
    <n v="104"/>
    <n v="67600"/>
    <s v="Wholesale"/>
  </r>
  <r>
    <s v="VCG-2024-0160"/>
    <x v="46"/>
    <x v="1"/>
    <x v="4"/>
    <x v="2"/>
    <x v="8"/>
    <n v="111"/>
    <n v="1100"/>
    <n v="122100"/>
    <n v="5"/>
    <n v="5500"/>
    <n v="106"/>
    <n v="116600"/>
    <s v="Wholesale"/>
  </r>
  <r>
    <s v="VCG-2024-0460"/>
    <x v="47"/>
    <x v="4"/>
    <x v="4"/>
    <x v="1"/>
    <x v="9"/>
    <n v="120"/>
    <n v="1600"/>
    <n v="192000"/>
    <n v="0"/>
    <n v="0"/>
    <n v="120"/>
    <n v="192000"/>
    <s v="Wholesale"/>
  </r>
  <r>
    <s v="VCG-2024-0230"/>
    <x v="47"/>
    <x v="1"/>
    <x v="1"/>
    <x v="1"/>
    <x v="6"/>
    <n v="30"/>
    <n v="400"/>
    <n v="12000"/>
    <n v="0"/>
    <n v="0"/>
    <n v="30"/>
    <n v="12000"/>
    <s v="Retail"/>
  </r>
  <r>
    <s v="VCG-2024-0250"/>
    <x v="48"/>
    <x v="3"/>
    <x v="5"/>
    <x v="2"/>
    <x v="8"/>
    <n v="130"/>
    <n v="1100"/>
    <n v="143000"/>
    <n v="8"/>
    <n v="8800"/>
    <n v="122"/>
    <n v="134200"/>
    <s v="Wholesale"/>
  </r>
  <r>
    <s v="VCG-2024-0323"/>
    <x v="49"/>
    <x v="0"/>
    <x v="3"/>
    <x v="0"/>
    <x v="0"/>
    <n v="65"/>
    <n v="500"/>
    <n v="32500"/>
    <n v="0"/>
    <n v="0"/>
    <n v="65"/>
    <n v="32500"/>
    <s v="Wholesale"/>
  </r>
  <r>
    <s v="VCG-2024-0326"/>
    <x v="49"/>
    <x v="5"/>
    <x v="8"/>
    <x v="0"/>
    <x v="17"/>
    <n v="52"/>
    <n v="3500"/>
    <n v="182000"/>
    <n v="3"/>
    <n v="10500"/>
    <n v="49"/>
    <n v="171500"/>
    <s v="Distributor"/>
  </r>
  <r>
    <s v="VCG-2024-0216"/>
    <x v="50"/>
    <x v="4"/>
    <x v="7"/>
    <x v="2"/>
    <x v="7"/>
    <n v="49"/>
    <n v="1800"/>
    <n v="88200"/>
    <n v="0"/>
    <n v="0"/>
    <n v="49"/>
    <n v="88200"/>
    <s v="Distributor"/>
  </r>
  <r>
    <s v="VCG-2024-0235"/>
    <x v="50"/>
    <x v="5"/>
    <x v="4"/>
    <x v="0"/>
    <x v="3"/>
    <n v="117"/>
    <n v="450"/>
    <n v="52650"/>
    <n v="0"/>
    <n v="0"/>
    <n v="117"/>
    <n v="52650"/>
    <s v="Retail"/>
  </r>
  <r>
    <s v="VCG-2024-0113"/>
    <x v="50"/>
    <x v="4"/>
    <x v="4"/>
    <x v="1"/>
    <x v="18"/>
    <n v="132"/>
    <n v="1500"/>
    <n v="198000"/>
    <n v="3"/>
    <n v="4500"/>
    <n v="129"/>
    <n v="193500"/>
    <s v="Wholesale"/>
  </r>
  <r>
    <s v="VCG-2024-0431"/>
    <x v="51"/>
    <x v="5"/>
    <x v="0"/>
    <x v="1"/>
    <x v="2"/>
    <n v="34"/>
    <n v="0"/>
    <n v="0"/>
    <n v="3"/>
    <n v="0"/>
    <n v="31"/>
    <n v="0"/>
    <s v="Distributor"/>
  </r>
  <r>
    <s v="VCG-2024-0414"/>
    <x v="51"/>
    <x v="5"/>
    <x v="0"/>
    <x v="0"/>
    <x v="1"/>
    <n v="22"/>
    <n v="2800"/>
    <n v="61600"/>
    <n v="0"/>
    <n v="0"/>
    <n v="22"/>
    <n v="61600"/>
    <s v="Unknown"/>
  </r>
  <r>
    <s v="VCG-2024-0333"/>
    <x v="52"/>
    <x v="1"/>
    <x v="2"/>
    <x v="2"/>
    <x v="16"/>
    <n v="167"/>
    <n v="850"/>
    <n v="141950"/>
    <n v="16"/>
    <n v="13600"/>
    <n v="151"/>
    <n v="128350"/>
    <s v="Distributor"/>
  </r>
  <r>
    <s v="VCG-2024-0292"/>
    <x v="53"/>
    <x v="1"/>
    <x v="2"/>
    <x v="1"/>
    <x v="12"/>
    <n v="18"/>
    <n v="1200"/>
    <n v="21600"/>
    <n v="0"/>
    <n v="0"/>
    <n v="18"/>
    <n v="21600"/>
    <s v="Retail"/>
  </r>
  <r>
    <s v="VCG-2024-0211"/>
    <x v="53"/>
    <x v="2"/>
    <x v="6"/>
    <x v="2"/>
    <x v="4"/>
    <n v="25"/>
    <n v="900"/>
    <n v="22500"/>
    <n v="2"/>
    <n v="1800"/>
    <n v="23"/>
    <n v="20700"/>
    <s v="Wholesale"/>
  </r>
  <r>
    <s v="VCG-2024-0229"/>
    <x v="54"/>
    <x v="1"/>
    <x v="7"/>
    <x v="0"/>
    <x v="0"/>
    <n v="141"/>
    <n v="500"/>
    <n v="70500"/>
    <n v="0"/>
    <n v="0"/>
    <n v="141"/>
    <n v="70500"/>
    <s v="Retail"/>
  </r>
  <r>
    <s v="VCG-2024-0449"/>
    <x v="54"/>
    <x v="3"/>
    <x v="5"/>
    <x v="0"/>
    <x v="1"/>
    <n v="59"/>
    <n v="2800"/>
    <n v="165200"/>
    <n v="3"/>
    <n v="8400"/>
    <n v="56"/>
    <n v="156800"/>
    <s v="Retail"/>
  </r>
  <r>
    <s v="VCG-2024-0387"/>
    <x v="55"/>
    <x v="3"/>
    <x v="1"/>
    <x v="0"/>
    <x v="11"/>
    <n v="168"/>
    <n v="1200"/>
    <n v="201600"/>
    <n v="7"/>
    <n v="8400"/>
    <n v="161"/>
    <n v="193200"/>
    <s v="Retail"/>
  </r>
  <r>
    <s v="VCG-2024-0198"/>
    <x v="56"/>
    <x v="5"/>
    <x v="3"/>
    <x v="0"/>
    <x v="3"/>
    <n v="96"/>
    <n v="0"/>
    <n v="0"/>
    <n v="9"/>
    <n v="0"/>
    <n v="87"/>
    <n v="0"/>
    <s v="Retail"/>
  </r>
  <r>
    <s v="VCG-2024-0023"/>
    <x v="57"/>
    <x v="1"/>
    <x v="6"/>
    <x v="0"/>
    <x v="0"/>
    <n v="110"/>
    <n v="500"/>
    <n v="55000"/>
    <n v="0"/>
    <n v="0"/>
    <n v="110"/>
    <n v="55000"/>
    <s v="Retail"/>
  </r>
  <r>
    <s v="VCG-2024-0296"/>
    <x v="58"/>
    <x v="2"/>
    <x v="7"/>
    <x v="0"/>
    <x v="15"/>
    <n v="106"/>
    <n v="900"/>
    <n v="95400"/>
    <n v="3"/>
    <n v="2700"/>
    <n v="103"/>
    <n v="92700"/>
    <s v="Wholesale"/>
  </r>
  <r>
    <s v="VCG-2024-0017"/>
    <x v="59"/>
    <x v="3"/>
    <x v="7"/>
    <x v="2"/>
    <x v="10"/>
    <n v="153"/>
    <n v="1400"/>
    <n v="214200"/>
    <n v="10"/>
    <n v="14000"/>
    <n v="143"/>
    <n v="200200"/>
    <s v="Wholesale"/>
  </r>
  <r>
    <s v="VCG-2024-0409"/>
    <x v="60"/>
    <x v="5"/>
    <x v="6"/>
    <x v="0"/>
    <x v="0"/>
    <n v="85"/>
    <n v="500"/>
    <n v="42500"/>
    <n v="5"/>
    <n v="2500"/>
    <n v="80"/>
    <n v="40000"/>
    <s v="Retail"/>
  </r>
  <r>
    <s v="VCG-2024-0416"/>
    <x v="60"/>
    <x v="4"/>
    <x v="6"/>
    <x v="1"/>
    <x v="13"/>
    <n v="97"/>
    <n v="700"/>
    <n v="67900"/>
    <n v="0"/>
    <n v="0"/>
    <n v="97"/>
    <n v="67900"/>
    <s v="Wholesale"/>
  </r>
  <r>
    <s v="VCG-2024-0153"/>
    <x v="61"/>
    <x v="2"/>
    <x v="7"/>
    <x v="2"/>
    <x v="14"/>
    <n v="73"/>
    <n v="650"/>
    <n v="47450"/>
    <n v="6"/>
    <n v="3900"/>
    <n v="67"/>
    <n v="43550"/>
    <s v="Wholesale"/>
  </r>
  <r>
    <s v="VCG-2024-0056"/>
    <x v="62"/>
    <x v="3"/>
    <x v="5"/>
    <x v="1"/>
    <x v="2"/>
    <n v="110"/>
    <n v="2200"/>
    <n v="242000"/>
    <n v="6"/>
    <n v="13200"/>
    <n v="104"/>
    <n v="228800"/>
    <s v="Retail"/>
  </r>
  <r>
    <s v="VCG-2024-0309"/>
    <x v="62"/>
    <x v="2"/>
    <x v="8"/>
    <x v="2"/>
    <x v="20"/>
    <n v="190"/>
    <n v="1200"/>
    <n v="228000"/>
    <n v="18"/>
    <n v="21600"/>
    <n v="172"/>
    <n v="206400"/>
    <s v="Retail"/>
  </r>
  <r>
    <s v="VCG-2024-0109"/>
    <x v="62"/>
    <x v="1"/>
    <x v="8"/>
    <x v="0"/>
    <x v="11"/>
    <n v="156"/>
    <n v="1200"/>
    <n v="187200"/>
    <n v="10"/>
    <n v="12000"/>
    <n v="146"/>
    <n v="175200"/>
    <s v="Distributor"/>
  </r>
  <r>
    <s v="VCG-2024-0007"/>
    <x v="63"/>
    <x v="2"/>
    <x v="8"/>
    <x v="1"/>
    <x v="9"/>
    <n v="198"/>
    <n v="1600"/>
    <n v="316800"/>
    <n v="13"/>
    <n v="20800"/>
    <n v="185"/>
    <n v="296000"/>
    <s v="Distributor"/>
  </r>
  <r>
    <s v="VCG-2024-0242"/>
    <x v="63"/>
    <x v="1"/>
    <x v="7"/>
    <x v="2"/>
    <x v="20"/>
    <n v="120"/>
    <n v="1200"/>
    <n v="144000"/>
    <n v="0"/>
    <n v="0"/>
    <n v="120"/>
    <n v="144000"/>
    <s v="Distributor"/>
  </r>
  <r>
    <s v="VCG-2024-0314"/>
    <x v="64"/>
    <x v="5"/>
    <x v="2"/>
    <x v="0"/>
    <x v="3"/>
    <n v="81"/>
    <n v="450"/>
    <n v="36450"/>
    <n v="0"/>
    <n v="0"/>
    <n v="81"/>
    <n v="36450"/>
    <s v="Wholesale"/>
  </r>
  <r>
    <s v="VCG-2024-0187"/>
    <x v="65"/>
    <x v="5"/>
    <x v="0"/>
    <x v="2"/>
    <x v="7"/>
    <n v="109"/>
    <n v="1800"/>
    <n v="196200"/>
    <n v="0"/>
    <n v="0"/>
    <n v="109"/>
    <n v="196200"/>
    <s v="Wholesale"/>
  </r>
  <r>
    <s v="VCG-2024-0247"/>
    <x v="65"/>
    <x v="4"/>
    <x v="2"/>
    <x v="0"/>
    <x v="3"/>
    <n v="194"/>
    <n v="450"/>
    <n v="87300"/>
    <n v="16"/>
    <n v="7200"/>
    <n v="178"/>
    <n v="80100"/>
    <s v="Wholesale"/>
  </r>
  <r>
    <s v="VCG-2024-0004"/>
    <x v="66"/>
    <x v="3"/>
    <x v="2"/>
    <x v="2"/>
    <x v="20"/>
    <n v="102"/>
    <n v="1200"/>
    <n v="122400"/>
    <n v="3"/>
    <n v="3600"/>
    <n v="99"/>
    <n v="118800"/>
    <s v="Wholesale"/>
  </r>
  <r>
    <s v="VCG-2024-0181"/>
    <x v="67"/>
    <x v="2"/>
    <x v="8"/>
    <x v="1"/>
    <x v="19"/>
    <n v="155"/>
    <n v="1800"/>
    <n v="279000"/>
    <n v="0"/>
    <n v="0"/>
    <n v="155"/>
    <n v="279000"/>
    <s v="Distributor"/>
  </r>
  <r>
    <s v="VCG-2024-0033"/>
    <x v="68"/>
    <x v="0"/>
    <x v="5"/>
    <x v="0"/>
    <x v="17"/>
    <n v="200"/>
    <n v="3500"/>
    <n v="700000"/>
    <n v="0"/>
    <n v="0"/>
    <n v="200"/>
    <n v="700000"/>
    <s v="Distributor"/>
  </r>
  <r>
    <s v="VCG-2024-0320"/>
    <x v="69"/>
    <x v="2"/>
    <x v="0"/>
    <x v="0"/>
    <x v="1"/>
    <n v="197"/>
    <n v="2800"/>
    <n v="551600"/>
    <n v="0"/>
    <n v="0"/>
    <n v="197"/>
    <n v="551600"/>
    <s v="Retail"/>
  </r>
  <r>
    <s v="VCG-2024-0478"/>
    <x v="70"/>
    <x v="1"/>
    <x v="6"/>
    <x v="0"/>
    <x v="0"/>
    <n v="35"/>
    <n v="500"/>
    <n v="17500"/>
    <n v="0"/>
    <n v="0"/>
    <n v="35"/>
    <n v="17500"/>
    <s v="Distributor"/>
  </r>
  <r>
    <s v="VCG-2024-0011"/>
    <x v="70"/>
    <x v="2"/>
    <x v="1"/>
    <x v="1"/>
    <x v="6"/>
    <n v="171"/>
    <n v="400"/>
    <n v="68400"/>
    <n v="0"/>
    <n v="0"/>
    <n v="171"/>
    <n v="68400"/>
    <s v="Retail"/>
  </r>
  <r>
    <s v="VCG-2024-0377"/>
    <x v="70"/>
    <x v="4"/>
    <x v="4"/>
    <x v="0"/>
    <x v="1"/>
    <n v="43"/>
    <n v="2800"/>
    <n v="120400"/>
    <n v="3"/>
    <n v="8400"/>
    <n v="40"/>
    <n v="112000"/>
    <s v="Retail"/>
  </r>
  <r>
    <s v="VCG-2024-0415"/>
    <x v="71"/>
    <x v="4"/>
    <x v="3"/>
    <x v="0"/>
    <x v="1"/>
    <n v="52"/>
    <n v="2800"/>
    <n v="145600"/>
    <n v="3"/>
    <n v="8400"/>
    <n v="49"/>
    <n v="137200"/>
    <s v="Distributor"/>
  </r>
  <r>
    <s v="VCG-2024-0254"/>
    <x v="71"/>
    <x v="0"/>
    <x v="2"/>
    <x v="2"/>
    <x v="4"/>
    <n v="170"/>
    <n v="900"/>
    <n v="153000"/>
    <n v="0"/>
    <n v="0"/>
    <n v="170"/>
    <n v="153000"/>
    <s v="Wholesale"/>
  </r>
  <r>
    <s v="VCG-2024-0390"/>
    <x v="72"/>
    <x v="3"/>
    <x v="0"/>
    <x v="0"/>
    <x v="17"/>
    <n v="9"/>
    <n v="3500"/>
    <n v="31500"/>
    <n v="0"/>
    <n v="0"/>
    <n v="9"/>
    <n v="31500"/>
    <s v="Distributor"/>
  </r>
  <r>
    <s v="VCG-2024-0083"/>
    <x v="73"/>
    <x v="2"/>
    <x v="2"/>
    <x v="0"/>
    <x v="3"/>
    <n v="34"/>
    <n v="450"/>
    <n v="15300"/>
    <n v="1"/>
    <n v="450"/>
    <n v="33"/>
    <n v="14850"/>
    <s v="Wholesale"/>
  </r>
  <r>
    <s v="VCG-2024-0134"/>
    <x v="74"/>
    <x v="1"/>
    <x v="1"/>
    <x v="1"/>
    <x v="6"/>
    <n v="189"/>
    <n v="400"/>
    <n v="75600"/>
    <n v="0"/>
    <n v="0"/>
    <n v="189"/>
    <n v="75600"/>
    <s v="Wholesale"/>
  </r>
  <r>
    <s v="VCG-2024-0219"/>
    <x v="74"/>
    <x v="3"/>
    <x v="10"/>
    <x v="1"/>
    <x v="19"/>
    <n v="94"/>
    <n v="1800"/>
    <n v="169200"/>
    <n v="9"/>
    <n v="16200"/>
    <n v="85"/>
    <n v="153000"/>
    <s v="Distributor"/>
  </r>
  <r>
    <s v="VCG-2024-0240"/>
    <x v="74"/>
    <x v="3"/>
    <x v="8"/>
    <x v="0"/>
    <x v="1"/>
    <n v="126"/>
    <n v="2800"/>
    <n v="352800"/>
    <n v="0"/>
    <n v="0"/>
    <n v="126"/>
    <n v="352800"/>
    <s v="Wholesale"/>
  </r>
  <r>
    <s v="VCG-2024-0121"/>
    <x v="75"/>
    <x v="3"/>
    <x v="1"/>
    <x v="0"/>
    <x v="11"/>
    <n v="181"/>
    <n v="1200"/>
    <n v="217200"/>
    <n v="8"/>
    <n v="9600"/>
    <n v="173"/>
    <n v="207600"/>
    <s v="Wholesale"/>
  </r>
  <r>
    <s v="VCG-2024-0417"/>
    <x v="75"/>
    <x v="3"/>
    <x v="7"/>
    <x v="2"/>
    <x v="20"/>
    <n v="126"/>
    <n v="1200"/>
    <n v="151200"/>
    <n v="6"/>
    <n v="7200"/>
    <n v="120"/>
    <n v="144000"/>
    <s v="Distributor"/>
  </r>
  <r>
    <s v="VCG-2024-0315"/>
    <x v="76"/>
    <x v="5"/>
    <x v="9"/>
    <x v="0"/>
    <x v="3"/>
    <n v="102"/>
    <n v="450"/>
    <n v="45900"/>
    <n v="5"/>
    <n v="2250"/>
    <n v="97"/>
    <n v="43650"/>
    <s v="Distributor"/>
  </r>
  <r>
    <s v="VCG-2024-0272"/>
    <x v="77"/>
    <x v="4"/>
    <x v="7"/>
    <x v="1"/>
    <x v="12"/>
    <n v="194"/>
    <n v="1200"/>
    <n v="232800"/>
    <n v="8"/>
    <n v="9600"/>
    <n v="186"/>
    <n v="223200"/>
    <s v="Distributor"/>
  </r>
  <r>
    <s v="VCG-2024-0197"/>
    <x v="78"/>
    <x v="1"/>
    <x v="0"/>
    <x v="0"/>
    <x v="11"/>
    <n v="73"/>
    <n v="1200"/>
    <n v="87600"/>
    <n v="3"/>
    <n v="3600"/>
    <n v="70"/>
    <n v="84000"/>
    <s v="Distributor"/>
  </r>
  <r>
    <s v="VCG-2024-0287"/>
    <x v="79"/>
    <x v="0"/>
    <x v="0"/>
    <x v="2"/>
    <x v="14"/>
    <n v="126"/>
    <n v="650"/>
    <n v="81900"/>
    <n v="10"/>
    <n v="6500"/>
    <n v="116"/>
    <n v="75400"/>
    <s v="Distributor"/>
  </r>
  <r>
    <s v="VCG-2024-0305"/>
    <x v="80"/>
    <x v="4"/>
    <x v="1"/>
    <x v="1"/>
    <x v="12"/>
    <n v="98"/>
    <n v="1200"/>
    <n v="117600"/>
    <n v="0"/>
    <n v="0"/>
    <n v="98"/>
    <n v="117600"/>
    <s v="Distributor"/>
  </r>
  <r>
    <s v="VCG-2024-0412"/>
    <x v="81"/>
    <x v="1"/>
    <x v="7"/>
    <x v="0"/>
    <x v="17"/>
    <n v="24"/>
    <n v="3500"/>
    <n v="84000"/>
    <n v="0"/>
    <n v="0"/>
    <n v="24"/>
    <n v="84000"/>
    <s v="Retail"/>
  </r>
  <r>
    <s v="VCG-2024-0037"/>
    <x v="81"/>
    <x v="1"/>
    <x v="5"/>
    <x v="2"/>
    <x v="16"/>
    <n v="184"/>
    <n v="850"/>
    <n v="156400"/>
    <n v="3"/>
    <n v="2550"/>
    <n v="181"/>
    <n v="153850"/>
    <s v="Retail"/>
  </r>
  <r>
    <s v="VCG-2024-0473"/>
    <x v="81"/>
    <x v="5"/>
    <x v="1"/>
    <x v="2"/>
    <x v="20"/>
    <n v="135"/>
    <n v="1200"/>
    <n v="162000"/>
    <n v="0"/>
    <n v="0"/>
    <n v="135"/>
    <n v="162000"/>
    <s v="Retail"/>
  </r>
  <r>
    <s v="VCG-2024-0165"/>
    <x v="82"/>
    <x v="5"/>
    <x v="6"/>
    <x v="0"/>
    <x v="11"/>
    <n v="130"/>
    <n v="1200"/>
    <n v="156000"/>
    <n v="13"/>
    <n v="15600"/>
    <n v="117"/>
    <n v="140400"/>
    <s v="Wholesale"/>
  </r>
  <r>
    <s v="VCG-2024-0258"/>
    <x v="83"/>
    <x v="0"/>
    <x v="0"/>
    <x v="1"/>
    <x v="6"/>
    <n v="136"/>
    <n v="400"/>
    <n v="54400"/>
    <n v="0"/>
    <n v="0"/>
    <n v="136"/>
    <n v="54400"/>
    <s v="Retail"/>
  </r>
  <r>
    <s v="VCG-2024-0433"/>
    <x v="84"/>
    <x v="1"/>
    <x v="7"/>
    <x v="0"/>
    <x v="11"/>
    <n v="65"/>
    <n v="1200"/>
    <n v="78000"/>
    <n v="6"/>
    <n v="7200"/>
    <n v="59"/>
    <n v="70800"/>
    <s v="Distributor"/>
  </r>
  <r>
    <s v="VCG-2024-0156"/>
    <x v="84"/>
    <x v="5"/>
    <x v="0"/>
    <x v="0"/>
    <x v="1"/>
    <n v="51"/>
    <n v="2800"/>
    <n v="142800"/>
    <n v="5"/>
    <n v="14000"/>
    <n v="46"/>
    <n v="128800"/>
    <s v="Wholesale"/>
  </r>
  <r>
    <s v="VCG-2024-0304"/>
    <x v="85"/>
    <x v="4"/>
    <x v="4"/>
    <x v="0"/>
    <x v="0"/>
    <n v="143"/>
    <n v="500"/>
    <n v="71500"/>
    <n v="11"/>
    <n v="5500"/>
    <n v="132"/>
    <n v="66000"/>
    <s v="Distributor"/>
  </r>
  <r>
    <s v="VCG-2024-0394"/>
    <x v="86"/>
    <x v="1"/>
    <x v="4"/>
    <x v="0"/>
    <x v="1"/>
    <n v="178"/>
    <n v="2800"/>
    <n v="498400"/>
    <n v="2"/>
    <n v="5600"/>
    <n v="176"/>
    <n v="492800"/>
    <s v="Wholesale"/>
  </r>
  <r>
    <s v="VCG-2024-0479"/>
    <x v="86"/>
    <x v="2"/>
    <x v="6"/>
    <x v="0"/>
    <x v="15"/>
    <n v="17"/>
    <n v="900"/>
    <n v="15300"/>
    <n v="0"/>
    <n v="0"/>
    <n v="17"/>
    <n v="15300"/>
    <s v="Distributor"/>
  </r>
  <r>
    <s v="VCG-2024-0196"/>
    <x v="86"/>
    <x v="5"/>
    <x v="8"/>
    <x v="1"/>
    <x v="19"/>
    <n v="74"/>
    <n v="1800"/>
    <n v="133200"/>
    <n v="4"/>
    <n v="7200"/>
    <n v="70"/>
    <n v="126000"/>
    <s v="Retail"/>
  </r>
  <r>
    <s v="VCG-2024-0158"/>
    <x v="87"/>
    <x v="0"/>
    <x v="8"/>
    <x v="0"/>
    <x v="3"/>
    <n v="26"/>
    <n v="450"/>
    <n v="11700"/>
    <n v="0"/>
    <n v="0"/>
    <n v="26"/>
    <n v="11700"/>
    <s v="Distributor"/>
  </r>
  <r>
    <s v="VCG-2024-0273"/>
    <x v="87"/>
    <x v="2"/>
    <x v="9"/>
    <x v="0"/>
    <x v="3"/>
    <n v="6"/>
    <n v="450"/>
    <n v="2700"/>
    <n v="1"/>
    <n v="450"/>
    <n v="5"/>
    <n v="2250"/>
    <s v="Distributor"/>
  </r>
  <r>
    <s v="VCG-2024-0251"/>
    <x v="87"/>
    <x v="1"/>
    <x v="3"/>
    <x v="3"/>
    <x v="10"/>
    <n v="174"/>
    <n v="1400"/>
    <n v="243600"/>
    <n v="16"/>
    <n v="22400"/>
    <n v="158"/>
    <n v="221200"/>
    <s v="Distributor"/>
  </r>
  <r>
    <s v="VCG-2024-0291"/>
    <x v="88"/>
    <x v="3"/>
    <x v="4"/>
    <x v="1"/>
    <x v="6"/>
    <n v="155"/>
    <n v="400"/>
    <n v="62000"/>
    <n v="4"/>
    <n v="1600"/>
    <n v="151"/>
    <n v="60400"/>
    <s v="Wholesale"/>
  </r>
  <r>
    <s v="VCG-2024-0351"/>
    <x v="89"/>
    <x v="0"/>
    <x v="6"/>
    <x v="0"/>
    <x v="3"/>
    <n v="89"/>
    <n v="450"/>
    <n v="40050"/>
    <n v="0"/>
    <n v="0"/>
    <n v="89"/>
    <n v="40050"/>
    <s v="Distributor"/>
  </r>
  <r>
    <s v="VCG-2024-0399"/>
    <x v="90"/>
    <x v="2"/>
    <x v="8"/>
    <x v="0"/>
    <x v="17"/>
    <n v="175"/>
    <n v="3500"/>
    <n v="612500"/>
    <n v="5"/>
    <n v="17500"/>
    <n v="170"/>
    <n v="595000"/>
    <s v="Distributor"/>
  </r>
  <r>
    <s v="VCG-2024-0465"/>
    <x v="90"/>
    <x v="2"/>
    <x v="6"/>
    <x v="0"/>
    <x v="17"/>
    <n v="21"/>
    <n v="3500"/>
    <n v="73500"/>
    <n v="1"/>
    <n v="3500"/>
    <n v="20"/>
    <n v="70000"/>
    <s v="Wholesale"/>
  </r>
  <r>
    <s v="VCG-2024-0363"/>
    <x v="90"/>
    <x v="4"/>
    <x v="5"/>
    <x v="2"/>
    <x v="7"/>
    <n v="173"/>
    <n v="1800"/>
    <n v="311400"/>
    <n v="0"/>
    <n v="0"/>
    <n v="173"/>
    <n v="311400"/>
    <s v="Retail"/>
  </r>
  <r>
    <s v="VCG-2024-0141"/>
    <x v="90"/>
    <x v="4"/>
    <x v="10"/>
    <x v="2"/>
    <x v="16"/>
    <n v="199"/>
    <n v="850"/>
    <n v="169150"/>
    <n v="18"/>
    <n v="15300"/>
    <n v="181"/>
    <n v="153850"/>
    <s v="Wholesale"/>
  </r>
  <r>
    <s v="VCG-2024-0205"/>
    <x v="90"/>
    <x v="1"/>
    <x v="3"/>
    <x v="2"/>
    <x v="4"/>
    <n v="46"/>
    <n v="900"/>
    <n v="41400"/>
    <n v="0"/>
    <n v="0"/>
    <n v="46"/>
    <n v="41400"/>
    <s v="Distributor"/>
  </r>
  <r>
    <s v="VCG-2024-0448"/>
    <x v="90"/>
    <x v="4"/>
    <x v="7"/>
    <x v="2"/>
    <x v="16"/>
    <n v="15"/>
    <n v="850"/>
    <n v="12750"/>
    <n v="0"/>
    <n v="0"/>
    <n v="15"/>
    <n v="12750"/>
    <s v="Retail"/>
  </r>
  <r>
    <s v="VCG-2024-0265"/>
    <x v="91"/>
    <x v="1"/>
    <x v="0"/>
    <x v="0"/>
    <x v="0"/>
    <n v="104"/>
    <n v="500"/>
    <n v="52000"/>
    <n v="8"/>
    <n v="4000"/>
    <n v="96"/>
    <n v="48000"/>
    <s v="Wholesale"/>
  </r>
  <r>
    <s v="VCG-2024-0447"/>
    <x v="91"/>
    <x v="0"/>
    <x v="6"/>
    <x v="1"/>
    <x v="6"/>
    <n v="130"/>
    <n v="400"/>
    <n v="52000"/>
    <n v="12"/>
    <n v="4800"/>
    <n v="118"/>
    <n v="47200"/>
    <s v="Distributor"/>
  </r>
  <r>
    <s v="VCG-2024-0209"/>
    <x v="92"/>
    <x v="2"/>
    <x v="2"/>
    <x v="2"/>
    <x v="5"/>
    <n v="143"/>
    <n v="200"/>
    <n v="28600"/>
    <n v="0"/>
    <n v="0"/>
    <n v="143"/>
    <n v="28600"/>
    <s v="Distributor"/>
  </r>
  <r>
    <s v="VCG-2024-0432"/>
    <x v="93"/>
    <x v="3"/>
    <x v="1"/>
    <x v="0"/>
    <x v="1"/>
    <n v="50"/>
    <n v="2800"/>
    <n v="140000"/>
    <n v="0"/>
    <n v="0"/>
    <n v="50"/>
    <n v="140000"/>
    <s v="Retail"/>
  </r>
  <r>
    <s v="VCG-2024-0419"/>
    <x v="93"/>
    <x v="0"/>
    <x v="3"/>
    <x v="1"/>
    <x v="6"/>
    <n v="159"/>
    <n v="400"/>
    <n v="63600"/>
    <n v="0"/>
    <n v="0"/>
    <n v="159"/>
    <n v="63600"/>
    <s v="Distributor"/>
  </r>
  <r>
    <s v="VCG-2024-0085"/>
    <x v="94"/>
    <x v="0"/>
    <x v="8"/>
    <x v="2"/>
    <x v="8"/>
    <n v="123"/>
    <n v="1100"/>
    <n v="135300"/>
    <n v="0"/>
    <n v="0"/>
    <n v="123"/>
    <n v="135300"/>
    <s v="Retail"/>
  </r>
  <r>
    <s v="VCG-2024-0327"/>
    <x v="94"/>
    <x v="2"/>
    <x v="2"/>
    <x v="2"/>
    <x v="14"/>
    <n v="11"/>
    <n v="650"/>
    <n v="7150"/>
    <n v="0"/>
    <n v="0"/>
    <n v="11"/>
    <n v="7150"/>
    <s v="Distributor"/>
  </r>
  <r>
    <s v="VCG-2024-0145"/>
    <x v="94"/>
    <x v="3"/>
    <x v="9"/>
    <x v="0"/>
    <x v="3"/>
    <n v="177"/>
    <n v="450"/>
    <n v="79650"/>
    <n v="16"/>
    <n v="7200"/>
    <n v="161"/>
    <n v="72450"/>
    <s v="Retail"/>
  </r>
  <r>
    <s v="VCG-2024-0407"/>
    <x v="95"/>
    <x v="1"/>
    <x v="5"/>
    <x v="0"/>
    <x v="0"/>
    <n v="153"/>
    <n v="500"/>
    <n v="76500"/>
    <n v="3"/>
    <n v="1500"/>
    <n v="150"/>
    <n v="75000"/>
    <s v="Wholesale"/>
  </r>
  <r>
    <s v="VCG-2024-0238"/>
    <x v="96"/>
    <x v="3"/>
    <x v="8"/>
    <x v="0"/>
    <x v="15"/>
    <n v="108"/>
    <n v="900"/>
    <n v="97200"/>
    <n v="1"/>
    <n v="900"/>
    <n v="107"/>
    <n v="96300"/>
    <s v="Distributor"/>
  </r>
  <r>
    <s v="VCG-2024-0402"/>
    <x v="96"/>
    <x v="1"/>
    <x v="8"/>
    <x v="1"/>
    <x v="6"/>
    <n v="176"/>
    <n v="400"/>
    <n v="70400"/>
    <n v="16"/>
    <n v="6400"/>
    <n v="160"/>
    <n v="64000"/>
    <s v="Retail"/>
  </r>
  <r>
    <s v="VCG-2024-0361"/>
    <x v="97"/>
    <x v="1"/>
    <x v="8"/>
    <x v="0"/>
    <x v="17"/>
    <n v="67"/>
    <n v="3500"/>
    <n v="234500"/>
    <n v="0"/>
    <n v="0"/>
    <n v="67"/>
    <n v="234500"/>
    <s v="Distributor"/>
  </r>
  <r>
    <s v="VCG-2024-0068"/>
    <x v="97"/>
    <x v="0"/>
    <x v="0"/>
    <x v="1"/>
    <x v="19"/>
    <n v="65"/>
    <n v="1800"/>
    <n v="117000"/>
    <n v="5"/>
    <n v="9000"/>
    <n v="60"/>
    <n v="108000"/>
    <s v="Wholesale"/>
  </r>
  <r>
    <s v="VCG-2024-0410"/>
    <x v="98"/>
    <x v="4"/>
    <x v="7"/>
    <x v="1"/>
    <x v="2"/>
    <n v="31"/>
    <n v="2200"/>
    <n v="68200"/>
    <n v="0"/>
    <n v="0"/>
    <n v="31"/>
    <n v="68200"/>
    <s v="Distributor"/>
  </r>
  <r>
    <s v="VCG-2024-0341"/>
    <x v="98"/>
    <x v="1"/>
    <x v="10"/>
    <x v="1"/>
    <x v="12"/>
    <n v="145"/>
    <n v="0"/>
    <n v="0"/>
    <n v="11"/>
    <n v="0"/>
    <n v="134"/>
    <n v="0"/>
    <s v="Distributor"/>
  </r>
  <r>
    <s v="VCG-2024-0464"/>
    <x v="98"/>
    <x v="1"/>
    <x v="4"/>
    <x v="2"/>
    <x v="14"/>
    <n v="56"/>
    <n v="650"/>
    <n v="36400"/>
    <n v="3"/>
    <n v="1950"/>
    <n v="53"/>
    <n v="34450"/>
    <s v="Wholesale"/>
  </r>
  <r>
    <s v="VCG-2024-0019"/>
    <x v="99"/>
    <x v="5"/>
    <x v="1"/>
    <x v="0"/>
    <x v="3"/>
    <n v="140"/>
    <n v="450"/>
    <n v="63000"/>
    <n v="0"/>
    <n v="0"/>
    <n v="140"/>
    <n v="63000"/>
    <s v="Retail"/>
  </r>
  <r>
    <s v="VCG-2024-0218"/>
    <x v="99"/>
    <x v="1"/>
    <x v="6"/>
    <x v="0"/>
    <x v="11"/>
    <n v="61"/>
    <n v="1200"/>
    <n v="73200"/>
    <n v="0"/>
    <n v="0"/>
    <n v="61"/>
    <n v="73200"/>
    <s v="Retail"/>
  </r>
  <r>
    <s v="VCG-2024-0398"/>
    <x v="99"/>
    <x v="2"/>
    <x v="5"/>
    <x v="2"/>
    <x v="8"/>
    <n v="51"/>
    <n v="1100"/>
    <n v="56100"/>
    <n v="1"/>
    <n v="1100"/>
    <n v="50"/>
    <n v="55000"/>
    <s v="Retail"/>
  </r>
  <r>
    <s v="VCG-2024-0450"/>
    <x v="99"/>
    <x v="1"/>
    <x v="7"/>
    <x v="1"/>
    <x v="12"/>
    <n v="32"/>
    <n v="1200"/>
    <n v="38400"/>
    <n v="3"/>
    <n v="3600"/>
    <n v="29"/>
    <n v="34800"/>
    <s v="Distributor"/>
  </r>
  <r>
    <s v="VCG-2024-0126"/>
    <x v="99"/>
    <x v="5"/>
    <x v="8"/>
    <x v="1"/>
    <x v="2"/>
    <n v="134"/>
    <n v="2200"/>
    <n v="294800"/>
    <n v="0"/>
    <n v="0"/>
    <n v="134"/>
    <n v="294800"/>
    <s v="Unknown"/>
  </r>
  <r>
    <s v="VCG-2024-0369"/>
    <x v="99"/>
    <x v="1"/>
    <x v="9"/>
    <x v="0"/>
    <x v="17"/>
    <n v="19"/>
    <n v="3500"/>
    <n v="66500"/>
    <n v="0"/>
    <n v="0"/>
    <n v="19"/>
    <n v="66500"/>
    <s v="Retail"/>
  </r>
  <r>
    <s v="VCG-2024-0395"/>
    <x v="100"/>
    <x v="1"/>
    <x v="2"/>
    <x v="2"/>
    <x v="8"/>
    <n v="33"/>
    <n v="1100"/>
    <n v="36300"/>
    <n v="0"/>
    <n v="0"/>
    <n v="33"/>
    <n v="36300"/>
    <s v="Wholesale"/>
  </r>
  <r>
    <s v="VCG-2024-0048"/>
    <x v="100"/>
    <x v="4"/>
    <x v="2"/>
    <x v="0"/>
    <x v="11"/>
    <n v="72"/>
    <n v="1200"/>
    <n v="86400"/>
    <n v="6"/>
    <n v="7200"/>
    <n v="66"/>
    <n v="79200"/>
    <s v="Retail"/>
  </r>
  <r>
    <s v="VCG-2024-0339"/>
    <x v="100"/>
    <x v="3"/>
    <x v="1"/>
    <x v="0"/>
    <x v="1"/>
    <n v="164"/>
    <n v="2800"/>
    <n v="459200"/>
    <n v="15"/>
    <n v="42000"/>
    <n v="149"/>
    <n v="417200"/>
    <s v="Distributor"/>
  </r>
  <r>
    <s v="VCG-2024-0233"/>
    <x v="101"/>
    <x v="3"/>
    <x v="7"/>
    <x v="0"/>
    <x v="17"/>
    <n v="29"/>
    <n v="3500"/>
    <n v="101500"/>
    <n v="1"/>
    <n v="3500"/>
    <n v="28"/>
    <n v="98000"/>
    <s v="Wholesale"/>
  </r>
  <r>
    <s v="VCG-2024-0054"/>
    <x v="102"/>
    <x v="3"/>
    <x v="7"/>
    <x v="1"/>
    <x v="19"/>
    <n v="67"/>
    <n v="1800"/>
    <n v="120600"/>
    <n v="5"/>
    <n v="9000"/>
    <n v="62"/>
    <n v="111600"/>
    <s v="Retail"/>
  </r>
  <r>
    <s v="VCG-2024-0127"/>
    <x v="103"/>
    <x v="2"/>
    <x v="6"/>
    <x v="0"/>
    <x v="3"/>
    <n v="108"/>
    <n v="450"/>
    <n v="48600"/>
    <n v="2"/>
    <n v="900"/>
    <n v="106"/>
    <n v="47700"/>
    <s v="Unknown"/>
  </r>
  <r>
    <s v="VCG-2024-0362"/>
    <x v="104"/>
    <x v="4"/>
    <x v="4"/>
    <x v="0"/>
    <x v="3"/>
    <n v="89"/>
    <n v="450"/>
    <n v="40050"/>
    <n v="0"/>
    <n v="0"/>
    <n v="89"/>
    <n v="40050"/>
    <s v="Retail"/>
  </r>
  <r>
    <s v="VCG-2024-0215"/>
    <x v="105"/>
    <x v="4"/>
    <x v="3"/>
    <x v="1"/>
    <x v="6"/>
    <n v="111"/>
    <n v="400"/>
    <n v="44400"/>
    <n v="6"/>
    <n v="2400"/>
    <n v="105"/>
    <n v="42000"/>
    <s v="Distributor"/>
  </r>
  <r>
    <s v="VCG-2024-0049"/>
    <x v="105"/>
    <x v="3"/>
    <x v="5"/>
    <x v="0"/>
    <x v="1"/>
    <n v="78"/>
    <n v="2800"/>
    <n v="218400"/>
    <n v="4"/>
    <n v="11200"/>
    <n v="74"/>
    <n v="207200"/>
    <s v="Distributor"/>
  </r>
  <r>
    <s v="VCG-2024-0308"/>
    <x v="105"/>
    <x v="2"/>
    <x v="4"/>
    <x v="2"/>
    <x v="16"/>
    <n v="168"/>
    <n v="850"/>
    <n v="142800"/>
    <n v="11"/>
    <n v="9350"/>
    <n v="157"/>
    <n v="133450"/>
    <s v="Retail"/>
  </r>
  <r>
    <s v="VCG-2024-0255"/>
    <x v="105"/>
    <x v="3"/>
    <x v="1"/>
    <x v="1"/>
    <x v="19"/>
    <n v="120"/>
    <n v="1800"/>
    <n v="216000"/>
    <n v="10"/>
    <n v="18000"/>
    <n v="110"/>
    <n v="198000"/>
    <s v="Distributor"/>
  </r>
  <r>
    <s v="VCG-2024-0022"/>
    <x v="106"/>
    <x v="0"/>
    <x v="9"/>
    <x v="1"/>
    <x v="2"/>
    <n v="179"/>
    <n v="2200"/>
    <n v="393800"/>
    <n v="13"/>
    <n v="28600"/>
    <n v="166"/>
    <n v="365200"/>
    <s v="Distributor"/>
  </r>
  <r>
    <s v="VCG-2024-0459"/>
    <x v="107"/>
    <x v="2"/>
    <x v="4"/>
    <x v="0"/>
    <x v="11"/>
    <n v="171"/>
    <n v="1200"/>
    <n v="205200"/>
    <n v="2"/>
    <n v="2400"/>
    <n v="169"/>
    <n v="202800"/>
    <s v="Wholesale"/>
  </r>
  <r>
    <s v="VCG-2024-0474"/>
    <x v="107"/>
    <x v="4"/>
    <x v="2"/>
    <x v="0"/>
    <x v="17"/>
    <n v="100"/>
    <n v="3500"/>
    <n v="350000"/>
    <n v="1"/>
    <n v="3500"/>
    <n v="99"/>
    <n v="346500"/>
    <s v="Distributor"/>
  </r>
  <r>
    <s v="VCG-2024-0168"/>
    <x v="108"/>
    <x v="1"/>
    <x v="4"/>
    <x v="1"/>
    <x v="18"/>
    <n v="27"/>
    <n v="1500"/>
    <n v="40500"/>
    <n v="0"/>
    <n v="0"/>
    <n v="27"/>
    <n v="40500"/>
    <s v="Distributor"/>
  </r>
  <r>
    <s v="VCG-2024-0080"/>
    <x v="109"/>
    <x v="0"/>
    <x v="5"/>
    <x v="2"/>
    <x v="7"/>
    <n v="57"/>
    <n v="1800"/>
    <n v="102600"/>
    <n v="0"/>
    <n v="0"/>
    <n v="57"/>
    <n v="102600"/>
    <s v="Wholesale"/>
  </r>
  <r>
    <s v="VCG-2024-0010"/>
    <x v="109"/>
    <x v="3"/>
    <x v="5"/>
    <x v="2"/>
    <x v="20"/>
    <n v="192"/>
    <n v="1200"/>
    <n v="230400"/>
    <n v="4"/>
    <n v="4800"/>
    <n v="188"/>
    <n v="225600"/>
    <s v="Distributor"/>
  </r>
  <r>
    <s v="VCG-2024-0344"/>
    <x v="109"/>
    <x v="3"/>
    <x v="9"/>
    <x v="1"/>
    <x v="19"/>
    <n v="27"/>
    <n v="1800"/>
    <n v="48600"/>
    <n v="0"/>
    <n v="0"/>
    <n v="27"/>
    <n v="48600"/>
    <s v="Distributor"/>
  </r>
  <r>
    <s v="VCG-2024-0286"/>
    <x v="110"/>
    <x v="0"/>
    <x v="0"/>
    <x v="1"/>
    <x v="6"/>
    <n v="197"/>
    <n v="400"/>
    <n v="78800"/>
    <n v="0"/>
    <n v="0"/>
    <n v="197"/>
    <n v="78800"/>
    <s v="Retail"/>
  </r>
  <r>
    <s v="VCG-2024-0064"/>
    <x v="110"/>
    <x v="3"/>
    <x v="6"/>
    <x v="1"/>
    <x v="13"/>
    <n v="128"/>
    <n v="700"/>
    <n v="89600"/>
    <n v="7"/>
    <n v="4900"/>
    <n v="121"/>
    <n v="84700"/>
    <s v="Retail"/>
  </r>
  <r>
    <s v="VCG-2024-0454"/>
    <x v="111"/>
    <x v="4"/>
    <x v="3"/>
    <x v="1"/>
    <x v="6"/>
    <n v="62"/>
    <n v="400"/>
    <n v="24800"/>
    <n v="5"/>
    <n v="2000"/>
    <n v="57"/>
    <n v="22800"/>
    <s v="Distributor"/>
  </r>
  <r>
    <s v="VCG-2024-0016"/>
    <x v="112"/>
    <x v="3"/>
    <x v="0"/>
    <x v="2"/>
    <x v="7"/>
    <n v="196"/>
    <n v="1800"/>
    <n v="352800"/>
    <n v="16"/>
    <n v="28800"/>
    <n v="180"/>
    <n v="324000"/>
    <s v="Retail"/>
  </r>
  <r>
    <s v="VCG-2024-0354"/>
    <x v="112"/>
    <x v="5"/>
    <x v="4"/>
    <x v="1"/>
    <x v="12"/>
    <n v="29"/>
    <n v="1200"/>
    <n v="34800"/>
    <n v="0"/>
    <n v="0"/>
    <n v="29"/>
    <n v="34800"/>
    <s v="Retail"/>
  </r>
  <r>
    <s v="VCG-2024-0257"/>
    <x v="113"/>
    <x v="2"/>
    <x v="1"/>
    <x v="0"/>
    <x v="3"/>
    <n v="170"/>
    <n v="450"/>
    <n v="76500"/>
    <n v="3"/>
    <n v="1350"/>
    <n v="167"/>
    <n v="75150"/>
    <s v="Retail"/>
  </r>
  <r>
    <s v="VCG-2024-0061"/>
    <x v="113"/>
    <x v="4"/>
    <x v="3"/>
    <x v="0"/>
    <x v="0"/>
    <n v="168"/>
    <n v="500"/>
    <n v="84000"/>
    <n v="12"/>
    <n v="6000"/>
    <n v="156"/>
    <n v="78000"/>
    <s v="Distributor"/>
  </r>
  <r>
    <s v="VCG-2024-0436"/>
    <x v="114"/>
    <x v="1"/>
    <x v="0"/>
    <x v="1"/>
    <x v="12"/>
    <n v="103"/>
    <n v="1200"/>
    <n v="123600"/>
    <n v="1"/>
    <n v="1200"/>
    <n v="102"/>
    <n v="122400"/>
    <s v="Distributor"/>
  </r>
  <r>
    <s v="VCG-2024-0373"/>
    <x v="115"/>
    <x v="2"/>
    <x v="3"/>
    <x v="1"/>
    <x v="12"/>
    <n v="5"/>
    <n v="1200"/>
    <n v="6000"/>
    <n v="0"/>
    <n v="0"/>
    <n v="5"/>
    <n v="6000"/>
    <s v="Distributor"/>
  </r>
  <r>
    <s v="VCG-2024-0130"/>
    <x v="115"/>
    <x v="3"/>
    <x v="5"/>
    <x v="2"/>
    <x v="16"/>
    <n v="140"/>
    <n v="850"/>
    <n v="119000"/>
    <n v="0"/>
    <n v="0"/>
    <n v="140"/>
    <n v="119000"/>
    <s v="Distributor"/>
  </r>
  <r>
    <s v="VCG-2024-0444"/>
    <x v="116"/>
    <x v="0"/>
    <x v="0"/>
    <x v="0"/>
    <x v="15"/>
    <n v="186"/>
    <n v="900"/>
    <n v="167400"/>
    <n v="1"/>
    <n v="900"/>
    <n v="185"/>
    <n v="166500"/>
    <s v="Wholesale"/>
  </r>
  <r>
    <s v="VCG-2024-0200"/>
    <x v="116"/>
    <x v="2"/>
    <x v="5"/>
    <x v="0"/>
    <x v="11"/>
    <n v="33"/>
    <n v="1200"/>
    <n v="39600"/>
    <n v="3"/>
    <n v="3600"/>
    <n v="30"/>
    <n v="36000"/>
    <s v="Distributor"/>
  </r>
  <r>
    <s v="VCG-2024-0050"/>
    <x v="116"/>
    <x v="1"/>
    <x v="2"/>
    <x v="2"/>
    <x v="7"/>
    <n v="200"/>
    <n v="1800"/>
    <n v="360000"/>
    <n v="20"/>
    <n v="36000"/>
    <n v="180"/>
    <n v="324000"/>
    <s v="Distributor"/>
  </r>
  <r>
    <s v="VCG-2024-0052"/>
    <x v="116"/>
    <x v="0"/>
    <x v="8"/>
    <x v="2"/>
    <x v="16"/>
    <n v="110"/>
    <n v="850"/>
    <n v="93500"/>
    <n v="7"/>
    <n v="5950"/>
    <n v="103"/>
    <n v="87550"/>
    <s v="Retail"/>
  </r>
  <r>
    <s v="VCG-2024-0089"/>
    <x v="117"/>
    <x v="4"/>
    <x v="2"/>
    <x v="0"/>
    <x v="3"/>
    <n v="113"/>
    <n v="0"/>
    <n v="0"/>
    <n v="5"/>
    <n v="0"/>
    <n v="108"/>
    <n v="0"/>
    <s v="Distributor"/>
  </r>
  <r>
    <s v="VCG-2024-0325"/>
    <x v="117"/>
    <x v="2"/>
    <x v="0"/>
    <x v="0"/>
    <x v="11"/>
    <n v="153"/>
    <n v="1200"/>
    <n v="183600"/>
    <n v="4"/>
    <n v="4800"/>
    <n v="149"/>
    <n v="178800"/>
    <s v="Distributor"/>
  </r>
  <r>
    <s v="VCG-2024-0159"/>
    <x v="118"/>
    <x v="0"/>
    <x v="2"/>
    <x v="2"/>
    <x v="20"/>
    <n v="71"/>
    <n v="1200"/>
    <n v="85200"/>
    <n v="3"/>
    <n v="3600"/>
    <n v="68"/>
    <n v="81600"/>
    <s v="Distributor"/>
  </r>
  <r>
    <s v="VCG-2024-0392"/>
    <x v="119"/>
    <x v="1"/>
    <x v="8"/>
    <x v="0"/>
    <x v="0"/>
    <n v="18"/>
    <n v="500"/>
    <n v="9000"/>
    <n v="0"/>
    <n v="0"/>
    <n v="18"/>
    <n v="9000"/>
    <s v="Distributor"/>
  </r>
  <r>
    <s v="VCG-2024-0334"/>
    <x v="119"/>
    <x v="2"/>
    <x v="6"/>
    <x v="2"/>
    <x v="14"/>
    <n v="187"/>
    <n v="650"/>
    <n v="121550"/>
    <n v="9"/>
    <n v="5850"/>
    <n v="178"/>
    <n v="115700"/>
    <s v="Retail"/>
  </r>
  <r>
    <s v="VCG-2024-0393"/>
    <x v="119"/>
    <x v="1"/>
    <x v="4"/>
    <x v="0"/>
    <x v="1"/>
    <n v="184"/>
    <n v="2800"/>
    <n v="515200"/>
    <n v="8"/>
    <n v="22400"/>
    <n v="176"/>
    <n v="492800"/>
    <s v="Distributor"/>
  </r>
  <r>
    <s v="VCG-2024-0425"/>
    <x v="120"/>
    <x v="5"/>
    <x v="3"/>
    <x v="2"/>
    <x v="16"/>
    <n v="173"/>
    <n v="850"/>
    <n v="147050"/>
    <n v="0"/>
    <n v="0"/>
    <n v="173"/>
    <n v="147050"/>
    <s v="Distributor"/>
  </r>
  <r>
    <s v="VCG-2024-0379"/>
    <x v="120"/>
    <x v="0"/>
    <x v="3"/>
    <x v="2"/>
    <x v="14"/>
    <n v="87"/>
    <n v="650"/>
    <n v="56550"/>
    <n v="5"/>
    <n v="3250"/>
    <n v="82"/>
    <n v="53300"/>
    <s v="Retail"/>
  </r>
  <r>
    <s v="VCG-2024-0342"/>
    <x v="121"/>
    <x v="4"/>
    <x v="4"/>
    <x v="2"/>
    <x v="14"/>
    <n v="128"/>
    <n v="650"/>
    <n v="83200"/>
    <n v="7"/>
    <n v="4550"/>
    <n v="121"/>
    <n v="78650"/>
    <s v="Distributor"/>
  </r>
  <r>
    <s v="VCG-2024-0074"/>
    <x v="121"/>
    <x v="0"/>
    <x v="7"/>
    <x v="0"/>
    <x v="17"/>
    <n v="85"/>
    <n v="3500"/>
    <n v="297500"/>
    <n v="0"/>
    <n v="0"/>
    <n v="85"/>
    <n v="297500"/>
    <s v="Distributor"/>
  </r>
  <r>
    <s v="VCG-2024-0244"/>
    <x v="122"/>
    <x v="4"/>
    <x v="6"/>
    <x v="2"/>
    <x v="4"/>
    <n v="159"/>
    <n v="900"/>
    <n v="143100"/>
    <n v="10"/>
    <n v="9000"/>
    <n v="149"/>
    <n v="134100"/>
    <s v="Distributor"/>
  </r>
  <r>
    <s v="VCG-2024-0122"/>
    <x v="123"/>
    <x v="2"/>
    <x v="1"/>
    <x v="2"/>
    <x v="8"/>
    <n v="187"/>
    <n v="1100"/>
    <n v="205700"/>
    <n v="6"/>
    <n v="6600"/>
    <n v="181"/>
    <n v="199100"/>
    <s v="Wholesale"/>
  </r>
  <r>
    <s v="VCG-2024-0245"/>
    <x v="123"/>
    <x v="2"/>
    <x v="6"/>
    <x v="0"/>
    <x v="1"/>
    <n v="182"/>
    <n v="2800"/>
    <n v="509600"/>
    <n v="18"/>
    <n v="50400"/>
    <n v="164"/>
    <n v="459200"/>
    <s v="Distributor"/>
  </r>
  <r>
    <s v="VCG-2024-0279"/>
    <x v="124"/>
    <x v="3"/>
    <x v="0"/>
    <x v="0"/>
    <x v="11"/>
    <n v="121"/>
    <n v="1200"/>
    <n v="145200"/>
    <n v="1"/>
    <n v="1200"/>
    <n v="120"/>
    <n v="144000"/>
    <s v="Distributor"/>
  </r>
  <r>
    <s v="VCG-2024-0352"/>
    <x v="125"/>
    <x v="2"/>
    <x v="8"/>
    <x v="2"/>
    <x v="4"/>
    <n v="187"/>
    <n v="900"/>
    <n v="168300"/>
    <n v="17"/>
    <n v="15300"/>
    <n v="170"/>
    <n v="153000"/>
    <s v="Distributor"/>
  </r>
  <r>
    <s v="VCG-2024-0143"/>
    <x v="126"/>
    <x v="5"/>
    <x v="4"/>
    <x v="2"/>
    <x v="7"/>
    <n v="139"/>
    <n v="1800"/>
    <n v="250200"/>
    <n v="10"/>
    <n v="18000"/>
    <n v="129"/>
    <n v="232200"/>
    <s v="Retail"/>
  </r>
  <r>
    <s v="VCG-2024-0076"/>
    <x v="126"/>
    <x v="4"/>
    <x v="0"/>
    <x v="2"/>
    <x v="16"/>
    <n v="62"/>
    <n v="850"/>
    <n v="52700"/>
    <n v="0"/>
    <n v="0"/>
    <n v="62"/>
    <n v="52700"/>
    <s v="Wholesale"/>
  </r>
  <r>
    <s v="VCG-2024-0456"/>
    <x v="127"/>
    <x v="1"/>
    <x v="8"/>
    <x v="2"/>
    <x v="20"/>
    <n v="194"/>
    <n v="1200"/>
    <n v="232800"/>
    <n v="2"/>
    <n v="2400"/>
    <n v="192"/>
    <n v="230400"/>
    <s v="Distributor"/>
  </r>
  <r>
    <s v="VCG-2024-0300"/>
    <x v="128"/>
    <x v="3"/>
    <x v="7"/>
    <x v="1"/>
    <x v="2"/>
    <n v="193"/>
    <n v="2200"/>
    <n v="424600"/>
    <n v="0"/>
    <n v="0"/>
    <n v="193"/>
    <n v="424600"/>
    <s v="Wholesale"/>
  </r>
  <r>
    <s v="VCG-2024-0371"/>
    <x v="129"/>
    <x v="1"/>
    <x v="7"/>
    <x v="1"/>
    <x v="18"/>
    <n v="20"/>
    <n v="1500"/>
    <n v="30000"/>
    <n v="0"/>
    <n v="0"/>
    <n v="20"/>
    <n v="30000"/>
    <s v="Wholesale"/>
  </r>
  <r>
    <s v="VCG-2024-0256"/>
    <x v="129"/>
    <x v="1"/>
    <x v="1"/>
    <x v="0"/>
    <x v="0"/>
    <n v="160"/>
    <n v="500"/>
    <n v="80000"/>
    <n v="0"/>
    <n v="0"/>
    <n v="160"/>
    <n v="80000"/>
    <s v="Distributor"/>
  </r>
  <r>
    <s v="VCG-2024-0151"/>
    <x v="129"/>
    <x v="2"/>
    <x v="7"/>
    <x v="0"/>
    <x v="3"/>
    <n v="44"/>
    <n v="450"/>
    <n v="19800"/>
    <n v="0"/>
    <n v="0"/>
    <n v="44"/>
    <n v="19800"/>
    <s v="Wholesale"/>
  </r>
  <r>
    <s v="VCG-2024-0226"/>
    <x v="130"/>
    <x v="0"/>
    <x v="7"/>
    <x v="3"/>
    <x v="19"/>
    <n v="103"/>
    <n v="1800"/>
    <n v="185400"/>
    <n v="0"/>
    <n v="0"/>
    <n v="103"/>
    <n v="185400"/>
    <s v="Unknown"/>
  </r>
  <r>
    <s v="VCG-2024-0021"/>
    <x v="130"/>
    <x v="3"/>
    <x v="6"/>
    <x v="0"/>
    <x v="15"/>
    <n v="146"/>
    <n v="900"/>
    <n v="131400"/>
    <n v="11"/>
    <n v="9900"/>
    <n v="135"/>
    <n v="121500"/>
    <s v="Retail"/>
  </r>
  <r>
    <s v="VCG-2024-0378"/>
    <x v="130"/>
    <x v="1"/>
    <x v="1"/>
    <x v="2"/>
    <x v="16"/>
    <n v="161"/>
    <n v="850"/>
    <n v="136850"/>
    <n v="0"/>
    <n v="0"/>
    <n v="161"/>
    <n v="136850"/>
    <s v="Distributor"/>
  </r>
  <r>
    <s v="VCG-2024-0014"/>
    <x v="131"/>
    <x v="2"/>
    <x v="7"/>
    <x v="2"/>
    <x v="8"/>
    <n v="123"/>
    <n v="1100"/>
    <n v="135300"/>
    <n v="8"/>
    <n v="8800"/>
    <n v="115"/>
    <n v="126500"/>
    <s v="Retail"/>
  </r>
  <r>
    <s v="VCG-2024-0222"/>
    <x v="131"/>
    <x v="3"/>
    <x v="8"/>
    <x v="0"/>
    <x v="15"/>
    <n v="176"/>
    <n v="900"/>
    <n v="158400"/>
    <n v="17"/>
    <n v="15300"/>
    <n v="159"/>
    <n v="143100"/>
    <s v="Retail"/>
  </r>
  <r>
    <s v="VCG-2024-0119"/>
    <x v="131"/>
    <x v="3"/>
    <x v="7"/>
    <x v="2"/>
    <x v="4"/>
    <n v="181"/>
    <n v="900"/>
    <n v="162900"/>
    <n v="1"/>
    <n v="900"/>
    <n v="180"/>
    <n v="162000"/>
    <s v="Retail"/>
  </r>
  <r>
    <s v="VCG-2024-0237"/>
    <x v="132"/>
    <x v="0"/>
    <x v="6"/>
    <x v="0"/>
    <x v="1"/>
    <n v="18"/>
    <n v="2800"/>
    <n v="50400"/>
    <n v="1"/>
    <n v="2800"/>
    <n v="17"/>
    <n v="47600"/>
    <s v="Distributor"/>
  </r>
  <r>
    <s v="VCG-2024-0283"/>
    <x v="132"/>
    <x v="0"/>
    <x v="6"/>
    <x v="2"/>
    <x v="20"/>
    <n v="25"/>
    <n v="1200"/>
    <n v="30000"/>
    <n v="2"/>
    <n v="2400"/>
    <n v="23"/>
    <n v="27600"/>
    <s v="Retail"/>
  </r>
  <r>
    <s v="VCG-2024-0227"/>
    <x v="132"/>
    <x v="0"/>
    <x v="1"/>
    <x v="2"/>
    <x v="20"/>
    <n v="103"/>
    <n v="1200"/>
    <n v="123600"/>
    <n v="0"/>
    <n v="0"/>
    <n v="103"/>
    <n v="123600"/>
    <s v="Wholesale"/>
  </r>
  <r>
    <s v="VCG-2024-0293"/>
    <x v="133"/>
    <x v="3"/>
    <x v="4"/>
    <x v="0"/>
    <x v="11"/>
    <n v="38"/>
    <n v="1200"/>
    <n v="45600"/>
    <n v="3"/>
    <n v="3600"/>
    <n v="35"/>
    <n v="42000"/>
    <s v="Distributor"/>
  </r>
  <r>
    <s v="VCG-2024-0042"/>
    <x v="134"/>
    <x v="3"/>
    <x v="4"/>
    <x v="0"/>
    <x v="3"/>
    <n v="130"/>
    <n v="0"/>
    <n v="0"/>
    <n v="3"/>
    <n v="0"/>
    <n v="127"/>
    <n v="0"/>
    <s v="Wholesale"/>
  </r>
  <r>
    <s v="VCG-2024-0241"/>
    <x v="135"/>
    <x v="1"/>
    <x v="9"/>
    <x v="2"/>
    <x v="16"/>
    <n v="40"/>
    <n v="850"/>
    <n v="34000"/>
    <n v="0"/>
    <n v="0"/>
    <n v="40"/>
    <n v="34000"/>
    <s v="Wholesale"/>
  </r>
  <r>
    <s v="VCG-2024-0095"/>
    <x v="136"/>
    <x v="1"/>
    <x v="10"/>
    <x v="2"/>
    <x v="8"/>
    <n v="36"/>
    <n v="1100"/>
    <n v="39600"/>
    <n v="0"/>
    <n v="0"/>
    <n v="36"/>
    <n v="39600"/>
    <s v="Distributor"/>
  </r>
  <r>
    <s v="VCG-2024-0322"/>
    <x v="137"/>
    <x v="1"/>
    <x v="3"/>
    <x v="1"/>
    <x v="13"/>
    <n v="157"/>
    <n v="700"/>
    <n v="109900"/>
    <n v="0"/>
    <n v="0"/>
    <n v="157"/>
    <n v="109900"/>
    <s v="Retail"/>
  </r>
  <r>
    <s v="VCG-2024-0041"/>
    <x v="137"/>
    <x v="4"/>
    <x v="3"/>
    <x v="2"/>
    <x v="16"/>
    <n v="59"/>
    <n v="850"/>
    <n v="50150"/>
    <n v="2"/>
    <n v="1700"/>
    <n v="57"/>
    <n v="48450"/>
    <s v="Distributor"/>
  </r>
  <r>
    <s v="VCG-2024-0281"/>
    <x v="138"/>
    <x v="3"/>
    <x v="0"/>
    <x v="1"/>
    <x v="19"/>
    <n v="95"/>
    <n v="0"/>
    <n v="0"/>
    <n v="0"/>
    <n v="0"/>
    <n v="95"/>
    <n v="0"/>
    <s v="Retail"/>
  </r>
  <r>
    <s v="VCG-2024-0115"/>
    <x v="139"/>
    <x v="5"/>
    <x v="1"/>
    <x v="0"/>
    <x v="3"/>
    <n v="161"/>
    <n v="450"/>
    <n v="72450"/>
    <n v="10"/>
    <n v="4500"/>
    <n v="151"/>
    <n v="67950"/>
    <s v="Distributor"/>
  </r>
  <r>
    <s v="VCG-2024-0104"/>
    <x v="140"/>
    <x v="1"/>
    <x v="1"/>
    <x v="1"/>
    <x v="6"/>
    <n v="119"/>
    <n v="400"/>
    <n v="47600"/>
    <n v="3"/>
    <n v="1200"/>
    <n v="116"/>
    <n v="46400"/>
    <s v="Retail"/>
  </r>
  <r>
    <s v="VCG-2024-0149"/>
    <x v="141"/>
    <x v="5"/>
    <x v="3"/>
    <x v="1"/>
    <x v="13"/>
    <n v="194"/>
    <n v="700"/>
    <n v="135800"/>
    <n v="11"/>
    <n v="7700"/>
    <n v="183"/>
    <n v="128100"/>
    <s v="Retail"/>
  </r>
  <r>
    <s v="VCG-2024-0368"/>
    <x v="142"/>
    <x v="3"/>
    <x v="5"/>
    <x v="2"/>
    <x v="5"/>
    <n v="178"/>
    <n v="200"/>
    <n v="35600"/>
    <n v="2"/>
    <n v="400"/>
    <n v="176"/>
    <n v="35200"/>
    <s v="Retail"/>
  </r>
  <r>
    <s v="VCG-2024-0035"/>
    <x v="143"/>
    <x v="1"/>
    <x v="2"/>
    <x v="0"/>
    <x v="15"/>
    <n v="39"/>
    <n v="900"/>
    <n v="35100"/>
    <n v="3"/>
    <n v="2700"/>
    <n v="36"/>
    <n v="32400"/>
    <s v="Wholesale"/>
  </r>
  <r>
    <s v="VCG-2024-0437"/>
    <x v="143"/>
    <x v="3"/>
    <x v="1"/>
    <x v="2"/>
    <x v="10"/>
    <n v="81"/>
    <n v="1400"/>
    <n v="113400"/>
    <n v="6"/>
    <n v="8400"/>
    <n v="75"/>
    <n v="105000"/>
    <s v="Retail"/>
  </r>
  <r>
    <s v="VCG-2024-0214"/>
    <x v="144"/>
    <x v="3"/>
    <x v="0"/>
    <x v="2"/>
    <x v="16"/>
    <n v="73"/>
    <n v="0"/>
    <n v="0"/>
    <n v="4"/>
    <n v="0"/>
    <n v="69"/>
    <n v="0"/>
    <s v="Distributor"/>
  </r>
  <r>
    <s v="VCG-2024-0194"/>
    <x v="144"/>
    <x v="0"/>
    <x v="7"/>
    <x v="2"/>
    <x v="5"/>
    <n v="59"/>
    <n v="200"/>
    <n v="11800"/>
    <n v="0"/>
    <n v="0"/>
    <n v="59"/>
    <n v="11800"/>
    <s v="Distributor"/>
  </r>
  <r>
    <s v="VCG-2024-0099"/>
    <x v="145"/>
    <x v="5"/>
    <x v="4"/>
    <x v="1"/>
    <x v="9"/>
    <n v="197"/>
    <n v="1600"/>
    <n v="315200"/>
    <n v="0"/>
    <n v="0"/>
    <n v="197"/>
    <n v="315200"/>
    <s v="Wholesale"/>
  </r>
  <r>
    <s v="VCG-2024-0146"/>
    <x v="145"/>
    <x v="0"/>
    <x v="4"/>
    <x v="0"/>
    <x v="11"/>
    <n v="183"/>
    <n v="1200"/>
    <n v="219600"/>
    <n v="1"/>
    <n v="1200"/>
    <n v="182"/>
    <n v="218400"/>
    <s v="Retail"/>
  </r>
  <r>
    <s v="VCG-2024-0065"/>
    <x v="145"/>
    <x v="5"/>
    <x v="3"/>
    <x v="2"/>
    <x v="4"/>
    <n v="8"/>
    <n v="900"/>
    <n v="7200"/>
    <n v="1"/>
    <n v="900"/>
    <n v="7"/>
    <n v="6300"/>
    <s v="Distributor"/>
  </r>
  <r>
    <s v="VCG-2024-0107"/>
    <x v="146"/>
    <x v="1"/>
    <x v="6"/>
    <x v="1"/>
    <x v="6"/>
    <n v="23"/>
    <n v="400"/>
    <n v="9200"/>
    <n v="2"/>
    <n v="800"/>
    <n v="21"/>
    <n v="8400"/>
    <s v="Distributor"/>
  </r>
  <r>
    <s v="VCG-2024-0157"/>
    <x v="146"/>
    <x v="2"/>
    <x v="1"/>
    <x v="2"/>
    <x v="8"/>
    <n v="173"/>
    <n v="1100"/>
    <n v="190300"/>
    <n v="15"/>
    <n v="16500"/>
    <n v="158"/>
    <n v="173800"/>
    <s v="Distributor"/>
  </r>
  <r>
    <s v="VCG-2024-0438"/>
    <x v="147"/>
    <x v="3"/>
    <x v="10"/>
    <x v="2"/>
    <x v="14"/>
    <n v="183"/>
    <n v="650"/>
    <n v="118950"/>
    <n v="17"/>
    <n v="11050"/>
    <n v="166"/>
    <n v="107900"/>
    <s v="Wholesale"/>
  </r>
  <r>
    <s v="VCG-2024-0204"/>
    <x v="147"/>
    <x v="0"/>
    <x v="3"/>
    <x v="0"/>
    <x v="15"/>
    <n v="30"/>
    <n v="900"/>
    <n v="27000"/>
    <n v="1"/>
    <n v="900"/>
    <n v="29"/>
    <n v="26100"/>
    <s v="Retail"/>
  </r>
  <r>
    <s v="VCG-2024-0329"/>
    <x v="147"/>
    <x v="2"/>
    <x v="0"/>
    <x v="2"/>
    <x v="14"/>
    <n v="117"/>
    <n v="650"/>
    <n v="76050"/>
    <n v="3"/>
    <n v="1950"/>
    <n v="114"/>
    <n v="74100"/>
    <s v="Distributor"/>
  </r>
  <r>
    <s v="VCG-2024-0295"/>
    <x v="147"/>
    <x v="3"/>
    <x v="9"/>
    <x v="2"/>
    <x v="14"/>
    <n v="93"/>
    <n v="650"/>
    <n v="60450"/>
    <n v="7"/>
    <n v="4550"/>
    <n v="86"/>
    <n v="55900"/>
    <s v="Wholesale"/>
  </r>
  <r>
    <s v="VCG-2024-0359"/>
    <x v="148"/>
    <x v="5"/>
    <x v="7"/>
    <x v="0"/>
    <x v="11"/>
    <n v="121"/>
    <n v="1200"/>
    <n v="145200"/>
    <n v="2"/>
    <n v="2400"/>
    <n v="119"/>
    <n v="142800"/>
    <s v="Distributor"/>
  </r>
  <r>
    <s v="VCG-2024-0140"/>
    <x v="149"/>
    <x v="2"/>
    <x v="2"/>
    <x v="0"/>
    <x v="15"/>
    <n v="67"/>
    <n v="900"/>
    <n v="60300"/>
    <n v="0"/>
    <n v="0"/>
    <n v="67"/>
    <n v="60300"/>
    <s v="Wholesale"/>
  </r>
  <r>
    <s v="VCG-2024-0148"/>
    <x v="150"/>
    <x v="3"/>
    <x v="8"/>
    <x v="0"/>
    <x v="3"/>
    <n v="13"/>
    <n v="450"/>
    <n v="5850"/>
    <n v="0"/>
    <n v="0"/>
    <n v="13"/>
    <n v="5850"/>
    <s v="Distributor"/>
  </r>
  <r>
    <s v="VCG-2024-0427"/>
    <x v="150"/>
    <x v="5"/>
    <x v="0"/>
    <x v="1"/>
    <x v="18"/>
    <n v="17"/>
    <n v="1500"/>
    <n v="25500"/>
    <n v="0"/>
    <n v="0"/>
    <n v="17"/>
    <n v="25500"/>
    <s v="Distributor"/>
  </r>
  <r>
    <s v="VCG-2024-0346"/>
    <x v="151"/>
    <x v="1"/>
    <x v="4"/>
    <x v="1"/>
    <x v="6"/>
    <n v="138"/>
    <n v="400"/>
    <n v="55200"/>
    <n v="5"/>
    <n v="2000"/>
    <n v="133"/>
    <n v="53200"/>
    <s v="Distributor"/>
  </r>
  <r>
    <s v="VCG-2024-0404"/>
    <x v="152"/>
    <x v="0"/>
    <x v="6"/>
    <x v="3"/>
    <x v="1"/>
    <n v="27"/>
    <n v="2800"/>
    <n v="75600"/>
    <n v="1"/>
    <n v="2800"/>
    <n v="26"/>
    <n v="72800"/>
    <s v="Retail"/>
  </r>
  <r>
    <s v="VCG-2024-0174"/>
    <x v="152"/>
    <x v="2"/>
    <x v="9"/>
    <x v="1"/>
    <x v="6"/>
    <n v="83"/>
    <n v="400"/>
    <n v="33200"/>
    <n v="0"/>
    <n v="0"/>
    <n v="83"/>
    <n v="33200"/>
    <s v="Retail"/>
  </r>
  <r>
    <s v="VCG-2024-0403"/>
    <x v="153"/>
    <x v="1"/>
    <x v="1"/>
    <x v="1"/>
    <x v="18"/>
    <n v="83"/>
    <n v="1500"/>
    <n v="124500"/>
    <n v="7"/>
    <n v="10500"/>
    <n v="76"/>
    <n v="114000"/>
    <s v="Distributor"/>
  </r>
  <r>
    <s v="VCG-2024-0391"/>
    <x v="153"/>
    <x v="1"/>
    <x v="2"/>
    <x v="1"/>
    <x v="6"/>
    <n v="90"/>
    <n v="400"/>
    <n v="36000"/>
    <n v="9"/>
    <n v="3600"/>
    <n v="81"/>
    <n v="32400"/>
    <s v="Distributor"/>
  </r>
  <r>
    <s v="VCG-2024-0152"/>
    <x v="154"/>
    <x v="5"/>
    <x v="8"/>
    <x v="1"/>
    <x v="9"/>
    <n v="11"/>
    <n v="1600"/>
    <n v="17600"/>
    <n v="1"/>
    <n v="1600"/>
    <n v="10"/>
    <n v="16000"/>
    <s v="Retail"/>
  </r>
  <r>
    <s v="VCG-2024-0372"/>
    <x v="154"/>
    <x v="1"/>
    <x v="4"/>
    <x v="0"/>
    <x v="0"/>
    <n v="31"/>
    <n v="500"/>
    <n v="15500"/>
    <n v="3"/>
    <n v="1500"/>
    <n v="28"/>
    <n v="14000"/>
    <s v="Retail"/>
  </r>
  <r>
    <s v="VCG-2024-0298"/>
    <x v="155"/>
    <x v="1"/>
    <x v="10"/>
    <x v="2"/>
    <x v="7"/>
    <n v="52"/>
    <n v="1800"/>
    <n v="93600"/>
    <n v="0"/>
    <n v="0"/>
    <n v="52"/>
    <n v="93600"/>
    <s v="Wholesale"/>
  </r>
  <r>
    <s v="VCG-2024-0045"/>
    <x v="155"/>
    <x v="1"/>
    <x v="5"/>
    <x v="1"/>
    <x v="19"/>
    <n v="127"/>
    <n v="1800"/>
    <n v="228600"/>
    <n v="1"/>
    <n v="1800"/>
    <n v="126"/>
    <n v="226800"/>
    <s v="Distributor"/>
  </r>
  <r>
    <s v="VCG-2024-0043"/>
    <x v="156"/>
    <x v="4"/>
    <x v="1"/>
    <x v="1"/>
    <x v="18"/>
    <n v="64"/>
    <n v="1500"/>
    <n v="96000"/>
    <n v="6"/>
    <n v="9000"/>
    <n v="58"/>
    <n v="87000"/>
    <s v="Retail"/>
  </r>
  <r>
    <s v="VCG-2024-0317"/>
    <x v="156"/>
    <x v="2"/>
    <x v="6"/>
    <x v="1"/>
    <x v="12"/>
    <n v="55"/>
    <n v="1200"/>
    <n v="66000"/>
    <n v="5"/>
    <n v="6000"/>
    <n v="50"/>
    <n v="60000"/>
    <s v="Distributor"/>
  </r>
  <r>
    <s v="VCG-2024-0207"/>
    <x v="156"/>
    <x v="2"/>
    <x v="9"/>
    <x v="1"/>
    <x v="9"/>
    <n v="114"/>
    <n v="1600"/>
    <n v="182400"/>
    <n v="1"/>
    <n v="1600"/>
    <n v="113"/>
    <n v="180800"/>
    <s v="Retail"/>
  </r>
  <r>
    <s v="VCG-2024-0195"/>
    <x v="156"/>
    <x v="1"/>
    <x v="1"/>
    <x v="1"/>
    <x v="2"/>
    <n v="112"/>
    <n v="2200"/>
    <n v="246400"/>
    <n v="8"/>
    <n v="17600"/>
    <n v="104"/>
    <n v="228800"/>
    <s v="Retail"/>
  </r>
  <r>
    <s v="VCG-2024-0259"/>
    <x v="156"/>
    <x v="5"/>
    <x v="2"/>
    <x v="1"/>
    <x v="6"/>
    <n v="22"/>
    <n v="400"/>
    <n v="8800"/>
    <n v="1"/>
    <n v="400"/>
    <n v="21"/>
    <n v="8400"/>
    <s v="Retail"/>
  </r>
  <r>
    <s v="VCG-2024-0091"/>
    <x v="157"/>
    <x v="4"/>
    <x v="0"/>
    <x v="0"/>
    <x v="11"/>
    <n v="84"/>
    <n v="1200"/>
    <n v="100800"/>
    <n v="0"/>
    <n v="0"/>
    <n v="84"/>
    <n v="100800"/>
    <s v="Distributor"/>
  </r>
  <r>
    <s v="VCG-2024-0201"/>
    <x v="157"/>
    <x v="4"/>
    <x v="10"/>
    <x v="2"/>
    <x v="5"/>
    <n v="62"/>
    <n v="200"/>
    <n v="12400"/>
    <n v="2"/>
    <n v="400"/>
    <n v="60"/>
    <n v="12000"/>
    <s v="Retail"/>
  </r>
  <r>
    <s v="VCG-2024-0386"/>
    <x v="157"/>
    <x v="0"/>
    <x v="3"/>
    <x v="2"/>
    <x v="16"/>
    <n v="189"/>
    <n v="850"/>
    <n v="160650"/>
    <n v="1"/>
    <n v="850"/>
    <n v="188"/>
    <n v="159800"/>
    <s v="Distributor"/>
  </r>
  <r>
    <s v="VCG-2024-0252"/>
    <x v="158"/>
    <x v="3"/>
    <x v="5"/>
    <x v="0"/>
    <x v="11"/>
    <n v="15"/>
    <n v="1200"/>
    <n v="18000"/>
    <n v="1"/>
    <n v="1200"/>
    <n v="14"/>
    <n v="16800"/>
    <s v="Wholesale"/>
  </r>
  <r>
    <s v="VCG-2024-0267"/>
    <x v="159"/>
    <x v="1"/>
    <x v="8"/>
    <x v="0"/>
    <x v="0"/>
    <n v="59"/>
    <n v="500"/>
    <n v="29500"/>
    <n v="5"/>
    <n v="2500"/>
    <n v="54"/>
    <n v="27000"/>
    <s v="Wholesale"/>
  </r>
  <r>
    <s v="VCG-2024-0100"/>
    <x v="159"/>
    <x v="0"/>
    <x v="3"/>
    <x v="2"/>
    <x v="16"/>
    <n v="182"/>
    <n v="850"/>
    <n v="154700"/>
    <n v="13"/>
    <n v="11050"/>
    <n v="169"/>
    <n v="143650"/>
    <s v="Retail"/>
  </r>
  <r>
    <s v="VCG-2024-0028"/>
    <x v="160"/>
    <x v="2"/>
    <x v="8"/>
    <x v="1"/>
    <x v="13"/>
    <n v="193"/>
    <n v="700"/>
    <n v="135100"/>
    <n v="10"/>
    <n v="7000"/>
    <n v="183"/>
    <n v="128100"/>
    <s v="Retail"/>
  </r>
  <r>
    <s v="VCG-2024-0031"/>
    <x v="160"/>
    <x v="4"/>
    <x v="7"/>
    <x v="0"/>
    <x v="15"/>
    <n v="45"/>
    <n v="900"/>
    <n v="40500"/>
    <n v="0"/>
    <n v="0"/>
    <n v="45"/>
    <n v="40500"/>
    <s v="Wholesale"/>
  </r>
  <r>
    <s v="VCG-2024-0128"/>
    <x v="161"/>
    <x v="3"/>
    <x v="1"/>
    <x v="0"/>
    <x v="3"/>
    <n v="151"/>
    <n v="450"/>
    <n v="67950"/>
    <n v="1"/>
    <n v="450"/>
    <n v="150"/>
    <n v="67500"/>
    <s v="Retail"/>
  </r>
  <r>
    <s v="VCG-2024-0316"/>
    <x v="161"/>
    <x v="5"/>
    <x v="8"/>
    <x v="2"/>
    <x v="10"/>
    <n v="115"/>
    <n v="1400"/>
    <n v="161000"/>
    <n v="0"/>
    <n v="0"/>
    <n v="115"/>
    <n v="161000"/>
    <s v="Distributor"/>
  </r>
  <r>
    <s v="VCG-2024-0367"/>
    <x v="162"/>
    <x v="3"/>
    <x v="8"/>
    <x v="0"/>
    <x v="17"/>
    <n v="29"/>
    <n v="3500"/>
    <n v="101500"/>
    <n v="2"/>
    <n v="7000"/>
    <n v="27"/>
    <n v="94500"/>
    <s v="Wholesale"/>
  </r>
  <r>
    <s v="VCG-2024-0192"/>
    <x v="163"/>
    <x v="5"/>
    <x v="0"/>
    <x v="2"/>
    <x v="16"/>
    <n v="31"/>
    <n v="850"/>
    <n v="26350"/>
    <n v="1"/>
    <n v="850"/>
    <n v="30"/>
    <n v="25500"/>
    <s v="Wholesale"/>
  </r>
  <r>
    <s v="VCG-2024-0190"/>
    <x v="163"/>
    <x v="1"/>
    <x v="0"/>
    <x v="2"/>
    <x v="20"/>
    <n v="44"/>
    <n v="1200"/>
    <n v="52800"/>
    <n v="0"/>
    <n v="0"/>
    <n v="44"/>
    <n v="52800"/>
    <s v="Wholesale"/>
  </r>
  <r>
    <s v="VCG-2024-0171"/>
    <x v="163"/>
    <x v="1"/>
    <x v="7"/>
    <x v="0"/>
    <x v="3"/>
    <n v="76"/>
    <n v="450"/>
    <n v="34200"/>
    <n v="0"/>
    <n v="0"/>
    <n v="76"/>
    <n v="34200"/>
    <s v="Retail"/>
  </r>
  <r>
    <s v="VCG-2024-0069"/>
    <x v="164"/>
    <x v="2"/>
    <x v="5"/>
    <x v="2"/>
    <x v="7"/>
    <n v="90"/>
    <n v="1800"/>
    <n v="162000"/>
    <n v="0"/>
    <n v="0"/>
    <n v="90"/>
    <n v="162000"/>
    <s v="Distributor"/>
  </r>
  <r>
    <s v="VCG-2024-0442"/>
    <x v="164"/>
    <x v="4"/>
    <x v="2"/>
    <x v="2"/>
    <x v="10"/>
    <n v="53"/>
    <n v="1400"/>
    <n v="74200"/>
    <n v="3"/>
    <n v="4200"/>
    <n v="50"/>
    <n v="70000"/>
    <s v="Retail"/>
  </r>
  <r>
    <s v="VCG-2024-0225"/>
    <x v="165"/>
    <x v="2"/>
    <x v="2"/>
    <x v="1"/>
    <x v="18"/>
    <n v="166"/>
    <n v="1500"/>
    <n v="249000"/>
    <n v="0"/>
    <n v="0"/>
    <n v="166"/>
    <n v="249000"/>
    <s v="Retail"/>
  </r>
  <r>
    <s v="VCG-2024-0164"/>
    <x v="165"/>
    <x v="3"/>
    <x v="5"/>
    <x v="0"/>
    <x v="17"/>
    <n v="177"/>
    <n v="3500"/>
    <n v="619500"/>
    <n v="0"/>
    <n v="0"/>
    <n v="177"/>
    <n v="619500"/>
    <s v="Retail"/>
  </r>
  <r>
    <s v="VCG-2024-0458"/>
    <x v="166"/>
    <x v="5"/>
    <x v="10"/>
    <x v="3"/>
    <x v="12"/>
    <n v="162"/>
    <n v="1200"/>
    <n v="194400"/>
    <n v="9"/>
    <n v="10800"/>
    <n v="153"/>
    <n v="183600"/>
    <s v="Retail"/>
  </r>
  <r>
    <s v="VCG-2024-0024"/>
    <x v="166"/>
    <x v="3"/>
    <x v="0"/>
    <x v="2"/>
    <x v="10"/>
    <n v="107"/>
    <n v="1400"/>
    <n v="149800"/>
    <n v="0"/>
    <n v="0"/>
    <n v="107"/>
    <n v="149800"/>
    <s v="Distributor"/>
  </r>
  <r>
    <s v="VCG-2024-0162"/>
    <x v="167"/>
    <x v="0"/>
    <x v="10"/>
    <x v="2"/>
    <x v="4"/>
    <n v="106"/>
    <n v="900"/>
    <n v="95400"/>
    <n v="0"/>
    <n v="0"/>
    <n v="106"/>
    <n v="95400"/>
    <s v="Distributor"/>
  </r>
  <r>
    <s v="VCG-2024-0290"/>
    <x v="168"/>
    <x v="2"/>
    <x v="6"/>
    <x v="0"/>
    <x v="0"/>
    <n v="112"/>
    <n v="500"/>
    <n v="56000"/>
    <n v="0"/>
    <n v="0"/>
    <n v="112"/>
    <n v="56000"/>
    <s v="Retail"/>
  </r>
  <r>
    <s v="VCG-2024-0217"/>
    <x v="168"/>
    <x v="1"/>
    <x v="9"/>
    <x v="2"/>
    <x v="5"/>
    <n v="130"/>
    <n v="200"/>
    <n v="26000"/>
    <n v="5"/>
    <n v="1000"/>
    <n v="125"/>
    <n v="25000"/>
    <s v="Wholesale"/>
  </r>
  <r>
    <s v="VCG-2024-0112"/>
    <x v="169"/>
    <x v="4"/>
    <x v="0"/>
    <x v="2"/>
    <x v="20"/>
    <n v="17"/>
    <n v="1200"/>
    <n v="20400"/>
    <n v="0"/>
    <n v="0"/>
    <n v="17"/>
    <n v="20400"/>
    <s v="Retail"/>
  </r>
  <r>
    <s v="VCG-2024-0446"/>
    <x v="170"/>
    <x v="3"/>
    <x v="8"/>
    <x v="1"/>
    <x v="2"/>
    <n v="71"/>
    <n v="2200"/>
    <n v="156200"/>
    <n v="4"/>
    <n v="8800"/>
    <n v="67"/>
    <n v="147400"/>
    <s v="Wholesale"/>
  </r>
  <r>
    <s v="VCG-2024-0097"/>
    <x v="171"/>
    <x v="0"/>
    <x v="3"/>
    <x v="1"/>
    <x v="6"/>
    <n v="9"/>
    <n v="400"/>
    <n v="3600"/>
    <n v="0"/>
    <n v="0"/>
    <n v="9"/>
    <n v="3600"/>
    <s v="Distributor"/>
  </r>
  <r>
    <s v="VCG-2024-0349"/>
    <x v="172"/>
    <x v="1"/>
    <x v="2"/>
    <x v="1"/>
    <x v="9"/>
    <n v="27"/>
    <n v="1600"/>
    <n v="43200"/>
    <n v="2"/>
    <n v="3200"/>
    <n v="25"/>
    <n v="40000"/>
    <s v="Distributor"/>
  </r>
  <r>
    <s v="VCG-2024-0066"/>
    <x v="172"/>
    <x v="5"/>
    <x v="3"/>
    <x v="0"/>
    <x v="11"/>
    <n v="170"/>
    <n v="1200"/>
    <n v="204000"/>
    <n v="13"/>
    <n v="15600"/>
    <n v="157"/>
    <n v="188400"/>
    <s v="Retail"/>
  </r>
  <r>
    <s v="VCG-2024-0013"/>
    <x v="173"/>
    <x v="2"/>
    <x v="2"/>
    <x v="2"/>
    <x v="4"/>
    <n v="95"/>
    <n v="900"/>
    <n v="85500"/>
    <n v="1"/>
    <n v="900"/>
    <n v="94"/>
    <n v="84600"/>
    <s v="Retail"/>
  </r>
  <r>
    <s v="VCG-2024-0388"/>
    <x v="173"/>
    <x v="3"/>
    <x v="9"/>
    <x v="0"/>
    <x v="15"/>
    <n v="193"/>
    <n v="900"/>
    <n v="173700"/>
    <n v="0"/>
    <n v="0"/>
    <n v="193"/>
    <n v="173700"/>
    <s v="Distributor"/>
  </r>
  <r>
    <s v="VCG-2024-0428"/>
    <x v="174"/>
    <x v="0"/>
    <x v="2"/>
    <x v="0"/>
    <x v="0"/>
    <n v="134"/>
    <n v="500"/>
    <n v="67000"/>
    <n v="0"/>
    <n v="0"/>
    <n v="134"/>
    <n v="67000"/>
    <s v="Distributor"/>
  </r>
  <r>
    <s v="VCG-2024-0423"/>
    <x v="174"/>
    <x v="2"/>
    <x v="8"/>
    <x v="2"/>
    <x v="4"/>
    <n v="72"/>
    <n v="900"/>
    <n v="64800"/>
    <n v="4"/>
    <n v="3600"/>
    <n v="68"/>
    <n v="61200"/>
    <s v="Wholesale"/>
  </r>
  <r>
    <s v="VCG-2024-0210"/>
    <x v="174"/>
    <x v="3"/>
    <x v="4"/>
    <x v="1"/>
    <x v="9"/>
    <n v="106"/>
    <n v="1600"/>
    <n v="169600"/>
    <n v="9"/>
    <n v="14400"/>
    <n v="97"/>
    <n v="155200"/>
    <s v="Distributor"/>
  </r>
  <r>
    <s v="VCG-2024-0071"/>
    <x v="175"/>
    <x v="1"/>
    <x v="6"/>
    <x v="0"/>
    <x v="15"/>
    <n v="139"/>
    <n v="900"/>
    <n v="125100"/>
    <n v="9"/>
    <n v="8100"/>
    <n v="130"/>
    <n v="117000"/>
    <s v="Retail"/>
  </r>
  <r>
    <s v="VCG-2024-0401"/>
    <x v="176"/>
    <x v="2"/>
    <x v="8"/>
    <x v="2"/>
    <x v="8"/>
    <n v="11"/>
    <n v="1100"/>
    <n v="12100"/>
    <n v="0"/>
    <n v="0"/>
    <n v="11"/>
    <n v="12100"/>
    <s v="Retail"/>
  </r>
  <r>
    <s v="VCG-2024-0420"/>
    <x v="177"/>
    <x v="1"/>
    <x v="2"/>
    <x v="1"/>
    <x v="6"/>
    <n v="11"/>
    <n v="400"/>
    <n v="4400"/>
    <n v="0"/>
    <n v="0"/>
    <n v="11"/>
    <n v="4400"/>
    <s v="Distributor"/>
  </r>
  <r>
    <s v="VCG-2024-0176"/>
    <x v="177"/>
    <x v="2"/>
    <x v="2"/>
    <x v="0"/>
    <x v="1"/>
    <n v="7"/>
    <n v="2800"/>
    <n v="19600"/>
    <n v="0"/>
    <n v="0"/>
    <n v="7"/>
    <n v="19600"/>
    <s v="Retail"/>
  </r>
  <r>
    <s v="VCG-2024-0260"/>
    <x v="178"/>
    <x v="4"/>
    <x v="3"/>
    <x v="0"/>
    <x v="3"/>
    <n v="83"/>
    <n v="450"/>
    <n v="37350"/>
    <n v="6"/>
    <n v="2700"/>
    <n v="77"/>
    <n v="34650"/>
    <s v="Retail"/>
  </r>
  <r>
    <s v="VCG-2024-0340"/>
    <x v="178"/>
    <x v="1"/>
    <x v="4"/>
    <x v="0"/>
    <x v="17"/>
    <n v="193"/>
    <n v="3500"/>
    <n v="675500"/>
    <n v="10"/>
    <n v="35000"/>
    <n v="183"/>
    <n v="640500"/>
    <s v="Unknown"/>
  </r>
  <r>
    <s v="VCG-2024-0249"/>
    <x v="178"/>
    <x v="2"/>
    <x v="2"/>
    <x v="2"/>
    <x v="14"/>
    <n v="193"/>
    <n v="650"/>
    <n v="125450"/>
    <n v="4"/>
    <n v="2600"/>
    <n v="189"/>
    <n v="122850"/>
    <s v="Retail"/>
  </r>
  <r>
    <s v="VCG-2024-0413"/>
    <x v="179"/>
    <x v="3"/>
    <x v="9"/>
    <x v="2"/>
    <x v="20"/>
    <n v="159"/>
    <n v="1200"/>
    <n v="190800"/>
    <n v="2"/>
    <n v="2400"/>
    <n v="157"/>
    <n v="188400"/>
    <s v="Retail"/>
  </r>
  <r>
    <s v="VCG-2024-0335"/>
    <x v="179"/>
    <x v="4"/>
    <x v="4"/>
    <x v="0"/>
    <x v="17"/>
    <n v="160"/>
    <n v="3500"/>
    <n v="560000"/>
    <n v="13"/>
    <n v="45500"/>
    <n v="147"/>
    <n v="514500"/>
    <s v="Distributor"/>
  </r>
  <r>
    <s v="VCG-2024-0330"/>
    <x v="180"/>
    <x v="5"/>
    <x v="5"/>
    <x v="0"/>
    <x v="1"/>
    <n v="169"/>
    <n v="2800"/>
    <n v="473200"/>
    <n v="1"/>
    <n v="2800"/>
    <n v="168"/>
    <n v="470400"/>
    <s v="Wholesale"/>
  </r>
  <r>
    <s v="VCG-2024-0234"/>
    <x v="181"/>
    <x v="2"/>
    <x v="2"/>
    <x v="1"/>
    <x v="19"/>
    <n v="121"/>
    <n v="1800"/>
    <n v="217800"/>
    <n v="10"/>
    <n v="18000"/>
    <n v="111"/>
    <n v="199800"/>
    <s v="Retail"/>
  </r>
  <r>
    <s v="VCG-2024-0075"/>
    <x v="181"/>
    <x v="5"/>
    <x v="9"/>
    <x v="0"/>
    <x v="1"/>
    <n v="148"/>
    <n v="2800"/>
    <n v="414400"/>
    <n v="12"/>
    <n v="33600"/>
    <n v="136"/>
    <n v="380800"/>
    <s v="Distributor"/>
  </r>
  <r>
    <s v="VCG-2024-0311"/>
    <x v="181"/>
    <x v="0"/>
    <x v="3"/>
    <x v="0"/>
    <x v="11"/>
    <n v="149"/>
    <n v="1200"/>
    <n v="178800"/>
    <n v="5"/>
    <n v="6000"/>
    <n v="144"/>
    <n v="172800"/>
    <s v="Distributor"/>
  </r>
  <r>
    <s v="VCG-2024-0051"/>
    <x v="182"/>
    <x v="4"/>
    <x v="3"/>
    <x v="1"/>
    <x v="18"/>
    <n v="87"/>
    <n v="1500"/>
    <n v="130500"/>
    <n v="4"/>
    <n v="6000"/>
    <n v="83"/>
    <n v="124500"/>
    <s v="Distributor"/>
  </r>
  <r>
    <s v="VCG-2024-0421"/>
    <x v="183"/>
    <x v="2"/>
    <x v="1"/>
    <x v="0"/>
    <x v="15"/>
    <n v="130"/>
    <n v="900"/>
    <n v="117000"/>
    <n v="0"/>
    <n v="0"/>
    <n v="130"/>
    <n v="117000"/>
    <s v="Retail"/>
  </r>
  <r>
    <s v="VCG-2024-0406"/>
    <x v="183"/>
    <x v="4"/>
    <x v="0"/>
    <x v="2"/>
    <x v="7"/>
    <n v="44"/>
    <n v="1800"/>
    <n v="79200"/>
    <n v="2"/>
    <n v="3600"/>
    <n v="42"/>
    <n v="75600"/>
    <s v="Distributor"/>
  </r>
  <r>
    <s v="VCG-2024-0199"/>
    <x v="183"/>
    <x v="2"/>
    <x v="4"/>
    <x v="2"/>
    <x v="20"/>
    <n v="19"/>
    <n v="1200"/>
    <n v="22800"/>
    <n v="0"/>
    <n v="0"/>
    <n v="19"/>
    <n v="22800"/>
    <s v="Distributor"/>
  </r>
  <r>
    <s v="VCG-2024-0461"/>
    <x v="184"/>
    <x v="5"/>
    <x v="8"/>
    <x v="1"/>
    <x v="9"/>
    <n v="129"/>
    <n v="1600"/>
    <n v="206400"/>
    <n v="7"/>
    <n v="11200"/>
    <n v="122"/>
    <n v="195200"/>
    <s v="Wholesale"/>
  </r>
  <r>
    <s v="VCG-2024-0297"/>
    <x v="185"/>
    <x v="3"/>
    <x v="1"/>
    <x v="0"/>
    <x v="3"/>
    <n v="141"/>
    <n v="450"/>
    <n v="63450"/>
    <n v="0"/>
    <n v="0"/>
    <n v="141"/>
    <n v="63450"/>
    <s v="Wholesale"/>
  </r>
  <r>
    <s v="VCG-2024-0299"/>
    <x v="186"/>
    <x v="4"/>
    <x v="9"/>
    <x v="1"/>
    <x v="9"/>
    <n v="197"/>
    <n v="1600"/>
    <n v="315200"/>
    <n v="0"/>
    <n v="0"/>
    <n v="197"/>
    <n v="315200"/>
    <s v="Distributor"/>
  </r>
  <r>
    <s v="VCG-2024-0350"/>
    <x v="186"/>
    <x v="1"/>
    <x v="4"/>
    <x v="0"/>
    <x v="11"/>
    <n v="28"/>
    <n v="1200"/>
    <n v="33600"/>
    <n v="2"/>
    <n v="2400"/>
    <n v="26"/>
    <n v="31200"/>
    <s v="Distributor"/>
  </r>
  <r>
    <s v="VCG-2024-0018"/>
    <x v="186"/>
    <x v="4"/>
    <x v="3"/>
    <x v="2"/>
    <x v="7"/>
    <n v="122"/>
    <n v="1800"/>
    <n v="219600"/>
    <n v="8"/>
    <n v="14400"/>
    <n v="114"/>
    <n v="205200"/>
    <s v="Wholesale"/>
  </r>
  <r>
    <s v="VCG-2024-0457"/>
    <x v="186"/>
    <x v="3"/>
    <x v="3"/>
    <x v="2"/>
    <x v="10"/>
    <n v="52"/>
    <n v="1400"/>
    <n v="72800"/>
    <n v="3"/>
    <n v="4200"/>
    <n v="49"/>
    <n v="68600"/>
    <s v="Unknown"/>
  </r>
  <r>
    <s v="VCG-2024-0360"/>
    <x v="187"/>
    <x v="5"/>
    <x v="5"/>
    <x v="1"/>
    <x v="9"/>
    <n v="14"/>
    <n v="1600"/>
    <n v="22400"/>
    <n v="0"/>
    <n v="0"/>
    <n v="14"/>
    <n v="22400"/>
    <s v="Retail"/>
  </r>
  <r>
    <s v="VCG-2024-0116"/>
    <x v="187"/>
    <x v="1"/>
    <x v="6"/>
    <x v="0"/>
    <x v="0"/>
    <n v="126"/>
    <n v="500"/>
    <n v="63000"/>
    <n v="0"/>
    <n v="0"/>
    <n v="126"/>
    <n v="63000"/>
    <s v="Distributor"/>
  </r>
  <r>
    <s v="VCG-2024-0055"/>
    <x v="188"/>
    <x v="1"/>
    <x v="1"/>
    <x v="0"/>
    <x v="0"/>
    <n v="155"/>
    <n v="500"/>
    <n v="77500"/>
    <n v="15"/>
    <n v="7500"/>
    <n v="140"/>
    <n v="70000"/>
    <s v="Wholesale"/>
  </r>
  <r>
    <s v="VCG-2024-0243"/>
    <x v="189"/>
    <x v="2"/>
    <x v="5"/>
    <x v="2"/>
    <x v="14"/>
    <n v="31"/>
    <n v="650"/>
    <n v="20150"/>
    <n v="3"/>
    <n v="1950"/>
    <n v="28"/>
    <n v="18200"/>
    <s v="Distributor"/>
  </r>
  <r>
    <s v="VCG-2024-0093"/>
    <x v="190"/>
    <x v="0"/>
    <x v="10"/>
    <x v="2"/>
    <x v="16"/>
    <n v="94"/>
    <n v="850"/>
    <n v="79900"/>
    <n v="6"/>
    <n v="5100"/>
    <n v="88"/>
    <n v="74800"/>
    <s v="Retail"/>
  </r>
  <r>
    <s v="VCG-2024-0331"/>
    <x v="191"/>
    <x v="1"/>
    <x v="0"/>
    <x v="1"/>
    <x v="19"/>
    <n v="106"/>
    <n v="1800"/>
    <n v="190800"/>
    <n v="0"/>
    <n v="0"/>
    <n v="106"/>
    <n v="190800"/>
    <s v="Wholesale"/>
  </r>
  <r>
    <s v="VCG-2024-0221"/>
    <x v="191"/>
    <x v="1"/>
    <x v="5"/>
    <x v="1"/>
    <x v="6"/>
    <n v="86"/>
    <n v="400"/>
    <n v="34400"/>
    <n v="4"/>
    <n v="1600"/>
    <n v="82"/>
    <n v="32800"/>
    <s v="Distributor"/>
  </r>
  <r>
    <s v="VCG-2024-0470"/>
    <x v="191"/>
    <x v="1"/>
    <x v="3"/>
    <x v="1"/>
    <x v="19"/>
    <n v="47"/>
    <n v="1800"/>
    <n v="84600"/>
    <n v="0"/>
    <n v="0"/>
    <n v="47"/>
    <n v="84600"/>
    <s v="Distributor"/>
  </r>
  <r>
    <s v="VCG-2024-0026"/>
    <x v="192"/>
    <x v="5"/>
    <x v="0"/>
    <x v="1"/>
    <x v="19"/>
    <n v="22"/>
    <n v="1800"/>
    <n v="39600"/>
    <n v="0"/>
    <n v="0"/>
    <n v="22"/>
    <n v="39600"/>
    <s v="Wholesale"/>
  </r>
  <r>
    <s v="VCG-2024-0471"/>
    <x v="192"/>
    <x v="0"/>
    <x v="7"/>
    <x v="0"/>
    <x v="3"/>
    <n v="146"/>
    <n v="450"/>
    <n v="65700"/>
    <n v="13"/>
    <n v="5850"/>
    <n v="133"/>
    <n v="59850"/>
    <s v="Wholesale"/>
  </r>
  <r>
    <s v="VCG-2024-0131"/>
    <x v="192"/>
    <x v="2"/>
    <x v="5"/>
    <x v="1"/>
    <x v="9"/>
    <n v="135"/>
    <n v="1600"/>
    <n v="216000"/>
    <n v="9"/>
    <n v="14400"/>
    <n v="126"/>
    <n v="201600"/>
    <s v="Retail"/>
  </r>
  <r>
    <s v="VCG-2024-0040"/>
    <x v="193"/>
    <x v="3"/>
    <x v="5"/>
    <x v="0"/>
    <x v="15"/>
    <n v="124"/>
    <n v="900"/>
    <n v="111600"/>
    <n v="1"/>
    <n v="900"/>
    <n v="123"/>
    <n v="110700"/>
    <s v="Wholesale"/>
  </r>
  <r>
    <s v="VCG-2024-0044"/>
    <x v="194"/>
    <x v="1"/>
    <x v="0"/>
    <x v="1"/>
    <x v="2"/>
    <n v="97"/>
    <n v="0"/>
    <n v="0"/>
    <n v="0"/>
    <n v="0"/>
    <n v="97"/>
    <n v="0"/>
    <s v="Retail"/>
  </r>
  <r>
    <s v="VCG-2024-0092"/>
    <x v="195"/>
    <x v="2"/>
    <x v="0"/>
    <x v="0"/>
    <x v="11"/>
    <n v="69"/>
    <n v="1200"/>
    <n v="82800"/>
    <n v="5"/>
    <n v="6000"/>
    <n v="64"/>
    <n v="76800"/>
    <s v="Distributor"/>
  </r>
  <r>
    <s v="VCG-2024-0179"/>
    <x v="195"/>
    <x v="1"/>
    <x v="3"/>
    <x v="1"/>
    <x v="2"/>
    <n v="104"/>
    <n v="2200"/>
    <n v="228800"/>
    <n v="7"/>
    <n v="15400"/>
    <n v="97"/>
    <n v="213400"/>
    <s v="Retail"/>
  </r>
  <r>
    <s v="VCG-2024-0039"/>
    <x v="196"/>
    <x v="0"/>
    <x v="2"/>
    <x v="0"/>
    <x v="3"/>
    <n v="92"/>
    <n v="450"/>
    <n v="41400"/>
    <n v="6"/>
    <n v="2700"/>
    <n v="86"/>
    <n v="38700"/>
    <s v="Wholesale"/>
  </r>
  <r>
    <s v="VCG-2024-0081"/>
    <x v="196"/>
    <x v="4"/>
    <x v="8"/>
    <x v="0"/>
    <x v="0"/>
    <n v="23"/>
    <n v="500"/>
    <n v="11500"/>
    <n v="0"/>
    <n v="0"/>
    <n v="23"/>
    <n v="11500"/>
    <s v="Wholesale"/>
  </r>
  <r>
    <s v="VCG-2024-0246"/>
    <x v="197"/>
    <x v="0"/>
    <x v="9"/>
    <x v="0"/>
    <x v="17"/>
    <n v="11"/>
    <n v="3500"/>
    <n v="38500"/>
    <n v="1"/>
    <n v="3500"/>
    <n v="10"/>
    <n v="35000"/>
    <s v="Wholesale"/>
  </r>
  <r>
    <s v="VCG-2024-0005"/>
    <x v="197"/>
    <x v="2"/>
    <x v="4"/>
    <x v="1"/>
    <x v="18"/>
    <n v="168"/>
    <n v="1500"/>
    <n v="252000"/>
    <n v="1"/>
    <n v="1500"/>
    <n v="167"/>
    <n v="250500"/>
    <s v="Wholesale"/>
  </r>
  <r>
    <s v="VCG-2024-0139"/>
    <x v="198"/>
    <x v="2"/>
    <x v="9"/>
    <x v="1"/>
    <x v="19"/>
    <n v="177"/>
    <n v="1800"/>
    <n v="318600"/>
    <n v="17"/>
    <n v="30600"/>
    <n v="160"/>
    <n v="288000"/>
    <s v="Wholesale"/>
  </r>
  <r>
    <s v="VCG-2024-0429"/>
    <x v="198"/>
    <x v="4"/>
    <x v="6"/>
    <x v="0"/>
    <x v="15"/>
    <n v="59"/>
    <n v="900"/>
    <n v="53100"/>
    <n v="0"/>
    <n v="0"/>
    <n v="59"/>
    <n v="53100"/>
    <s v="Distributor"/>
  </r>
  <r>
    <s v="VCG-2024-0060"/>
    <x v="199"/>
    <x v="0"/>
    <x v="5"/>
    <x v="0"/>
    <x v="11"/>
    <n v="132"/>
    <n v="1200"/>
    <n v="158400"/>
    <n v="0"/>
    <n v="0"/>
    <n v="132"/>
    <n v="158400"/>
    <s v="Wholesale"/>
  </r>
  <r>
    <s v="VCG-2024-0155"/>
    <x v="200"/>
    <x v="5"/>
    <x v="0"/>
    <x v="1"/>
    <x v="18"/>
    <n v="50"/>
    <n v="1500"/>
    <n v="75000"/>
    <n v="3"/>
    <n v="4500"/>
    <n v="47"/>
    <n v="70500"/>
    <s v="Distributor"/>
  </r>
  <r>
    <s v="VCG-2024-0263"/>
    <x v="201"/>
    <x v="5"/>
    <x v="4"/>
    <x v="3"/>
    <x v="11"/>
    <n v="98"/>
    <n v="1200"/>
    <n v="117600"/>
    <n v="2"/>
    <n v="2400"/>
    <n v="96"/>
    <n v="115200"/>
    <s v="Distributor"/>
  </r>
  <r>
    <s v="VCG-2024-0452"/>
    <x v="201"/>
    <x v="0"/>
    <x v="2"/>
    <x v="2"/>
    <x v="10"/>
    <n v="46"/>
    <n v="1400"/>
    <n v="64400"/>
    <n v="1"/>
    <n v="1400"/>
    <n v="45"/>
    <n v="63000"/>
    <s v="Retail"/>
  </r>
  <r>
    <s v="VCG-2024-0132"/>
    <x v="201"/>
    <x v="2"/>
    <x v="5"/>
    <x v="2"/>
    <x v="7"/>
    <n v="113"/>
    <n v="1800"/>
    <n v="203400"/>
    <n v="1"/>
    <n v="1800"/>
    <n v="112"/>
    <n v="201600"/>
    <s v="Distributor"/>
  </r>
  <r>
    <s v="VCG-2024-0034"/>
    <x v="202"/>
    <x v="3"/>
    <x v="4"/>
    <x v="2"/>
    <x v="8"/>
    <n v="116"/>
    <n v="1100"/>
    <n v="127600"/>
    <n v="11"/>
    <n v="12100"/>
    <n v="105"/>
    <n v="115500"/>
    <s v="Retail"/>
  </r>
  <r>
    <s v="VCG-2024-0253"/>
    <x v="203"/>
    <x v="4"/>
    <x v="4"/>
    <x v="1"/>
    <x v="9"/>
    <n v="80"/>
    <n v="1600"/>
    <n v="128000"/>
    <n v="2"/>
    <n v="3200"/>
    <n v="78"/>
    <n v="124800"/>
    <s v="Distributor"/>
  </r>
  <r>
    <s v="VCG-2024-0073"/>
    <x v="203"/>
    <x v="0"/>
    <x v="5"/>
    <x v="0"/>
    <x v="0"/>
    <n v="121"/>
    <n v="500"/>
    <n v="60500"/>
    <n v="0"/>
    <n v="0"/>
    <n v="121"/>
    <n v="60500"/>
    <s v="Distributor"/>
  </r>
  <r>
    <s v="VCG-2024-0220"/>
    <x v="203"/>
    <x v="5"/>
    <x v="5"/>
    <x v="1"/>
    <x v="18"/>
    <n v="180"/>
    <n v="1500"/>
    <n v="270000"/>
    <n v="8"/>
    <n v="12000"/>
    <n v="172"/>
    <n v="258000"/>
    <s v="Wholesale"/>
  </r>
  <r>
    <s v="VCG-2024-0182"/>
    <x v="204"/>
    <x v="5"/>
    <x v="5"/>
    <x v="2"/>
    <x v="8"/>
    <n v="175"/>
    <n v="1100"/>
    <n v="192500"/>
    <n v="0"/>
    <n v="0"/>
    <n v="175"/>
    <n v="192500"/>
    <s v="Retail"/>
  </r>
  <r>
    <s v="VCG-2024-0124"/>
    <x v="204"/>
    <x v="2"/>
    <x v="7"/>
    <x v="0"/>
    <x v="15"/>
    <n v="127"/>
    <n v="900"/>
    <n v="114300"/>
    <n v="0"/>
    <n v="0"/>
    <n v="127"/>
    <n v="114300"/>
    <s v="Retail"/>
  </r>
  <r>
    <s v="VCG-2024-0375"/>
    <x v="205"/>
    <x v="0"/>
    <x v="0"/>
    <x v="1"/>
    <x v="6"/>
    <n v="104"/>
    <n v="400"/>
    <n v="41600"/>
    <n v="0"/>
    <n v="0"/>
    <n v="104"/>
    <n v="41600"/>
    <s v="Distributor"/>
  </r>
  <r>
    <s v="VCG-2024-0008"/>
    <x v="205"/>
    <x v="1"/>
    <x v="2"/>
    <x v="0"/>
    <x v="1"/>
    <n v="197"/>
    <n v="2800"/>
    <n v="551600"/>
    <n v="14"/>
    <n v="39200"/>
    <n v="183"/>
    <n v="512400"/>
    <s v="Retail"/>
  </r>
  <r>
    <s v="VCG-2024-0020"/>
    <x v="205"/>
    <x v="3"/>
    <x v="5"/>
    <x v="3"/>
    <x v="5"/>
    <n v="57"/>
    <n v="200"/>
    <n v="11400"/>
    <n v="0"/>
    <n v="0"/>
    <n v="57"/>
    <n v="11400"/>
    <s v="Retail"/>
  </r>
  <r>
    <s v="VCG-2024-0380"/>
    <x v="205"/>
    <x v="3"/>
    <x v="10"/>
    <x v="2"/>
    <x v="14"/>
    <n v="30"/>
    <n v="650"/>
    <n v="19500"/>
    <n v="0"/>
    <n v="0"/>
    <n v="30"/>
    <n v="19500"/>
    <s v="Distributor"/>
  </r>
  <r>
    <s v="VCG-2024-0027"/>
    <x v="205"/>
    <x v="0"/>
    <x v="7"/>
    <x v="0"/>
    <x v="3"/>
    <n v="49"/>
    <n v="450"/>
    <n v="22050"/>
    <n v="0"/>
    <n v="0"/>
    <n v="49"/>
    <n v="22050"/>
    <s v="Wholesale"/>
  </r>
  <r>
    <s v="VCG-2024-0324"/>
    <x v="206"/>
    <x v="3"/>
    <x v="6"/>
    <x v="1"/>
    <x v="19"/>
    <n v="173"/>
    <n v="1800"/>
    <n v="311400"/>
    <n v="7"/>
    <n v="12600"/>
    <n v="166"/>
    <n v="298800"/>
    <s v="Distributor"/>
  </r>
  <r>
    <s v="VCG-2024-0337"/>
    <x v="207"/>
    <x v="5"/>
    <x v="5"/>
    <x v="0"/>
    <x v="11"/>
    <n v="121"/>
    <n v="1200"/>
    <n v="145200"/>
    <n v="6"/>
    <n v="7200"/>
    <n v="115"/>
    <n v="138000"/>
    <s v="Retail"/>
  </r>
  <r>
    <s v="VCG-2024-0137"/>
    <x v="207"/>
    <x v="2"/>
    <x v="7"/>
    <x v="0"/>
    <x v="15"/>
    <n v="17"/>
    <n v="900"/>
    <n v="15300"/>
    <n v="1"/>
    <n v="900"/>
    <n v="16"/>
    <n v="14400"/>
    <s v="Distributor"/>
  </r>
  <r>
    <s v="VCG-2024-0223"/>
    <x v="208"/>
    <x v="2"/>
    <x v="3"/>
    <x v="0"/>
    <x v="17"/>
    <n v="61"/>
    <n v="3500"/>
    <n v="213500"/>
    <n v="2"/>
    <n v="7000"/>
    <n v="59"/>
    <n v="206500"/>
    <s v="Wholesale"/>
  </r>
  <r>
    <s v="VCG-2024-0166"/>
    <x v="209"/>
    <x v="4"/>
    <x v="7"/>
    <x v="0"/>
    <x v="15"/>
    <n v="111"/>
    <n v="900"/>
    <n v="99900"/>
    <n v="3"/>
    <n v="2700"/>
    <n v="108"/>
    <n v="97200"/>
    <s v="Wholesale"/>
  </r>
  <r>
    <s v="VCG-2024-0467"/>
    <x v="209"/>
    <x v="1"/>
    <x v="6"/>
    <x v="0"/>
    <x v="17"/>
    <n v="57"/>
    <n v="3500"/>
    <n v="199500"/>
    <n v="4"/>
    <n v="14000"/>
    <n v="53"/>
    <n v="185500"/>
    <s v="Distributor"/>
  </r>
  <r>
    <s v="VCG-2024-0269"/>
    <x v="210"/>
    <x v="3"/>
    <x v="2"/>
    <x v="2"/>
    <x v="16"/>
    <n v="160"/>
    <n v="850"/>
    <n v="136000"/>
    <n v="4"/>
    <n v="3400"/>
    <n v="156"/>
    <n v="132600"/>
    <s v="Distributor"/>
  </r>
  <r>
    <s v="VCG-2024-0046"/>
    <x v="210"/>
    <x v="1"/>
    <x v="0"/>
    <x v="2"/>
    <x v="4"/>
    <n v="160"/>
    <n v="900"/>
    <n v="144000"/>
    <n v="14"/>
    <n v="12600"/>
    <n v="146"/>
    <n v="131400"/>
    <s v="Wholesale"/>
  </r>
  <r>
    <s v="VCG-2024-0167"/>
    <x v="211"/>
    <x v="4"/>
    <x v="8"/>
    <x v="0"/>
    <x v="17"/>
    <n v="151"/>
    <n v="3500"/>
    <n v="528500"/>
    <n v="1"/>
    <n v="3500"/>
    <n v="150"/>
    <n v="525000"/>
    <s v="Distributor"/>
  </r>
  <r>
    <s v="VCG-2024-0103"/>
    <x v="212"/>
    <x v="2"/>
    <x v="4"/>
    <x v="1"/>
    <x v="18"/>
    <n v="118"/>
    <n v="1500"/>
    <n v="177000"/>
    <n v="10"/>
    <n v="15000"/>
    <n v="108"/>
    <n v="162000"/>
    <s v="Wholesale"/>
  </r>
  <r>
    <s v="VCG-2024-0006"/>
    <x v="212"/>
    <x v="3"/>
    <x v="0"/>
    <x v="0"/>
    <x v="15"/>
    <n v="106"/>
    <n v="900"/>
    <n v="95400"/>
    <n v="0"/>
    <n v="0"/>
    <n v="106"/>
    <n v="95400"/>
    <s v="Distributor"/>
  </r>
  <r>
    <s v="VCG-2024-0184"/>
    <x v="212"/>
    <x v="2"/>
    <x v="1"/>
    <x v="2"/>
    <x v="20"/>
    <n v="63"/>
    <n v="0"/>
    <n v="0"/>
    <n v="0"/>
    <n v="0"/>
    <n v="63"/>
    <n v="0"/>
    <s v="Retail"/>
  </r>
  <r>
    <s v="VCG-2024-0202"/>
    <x v="212"/>
    <x v="5"/>
    <x v="3"/>
    <x v="0"/>
    <x v="11"/>
    <n v="168"/>
    <n v="1200"/>
    <n v="201600"/>
    <n v="7"/>
    <n v="8400"/>
    <n v="161"/>
    <n v="193200"/>
    <s v="Wholesale"/>
  </r>
  <r>
    <s v="VCG-2024-0288"/>
    <x v="212"/>
    <x v="1"/>
    <x v="6"/>
    <x v="3"/>
    <x v="10"/>
    <n v="70"/>
    <n v="1400"/>
    <n v="98000"/>
    <n v="5"/>
    <n v="7000"/>
    <n v="65"/>
    <n v="91000"/>
    <s v="Wholesale"/>
  </r>
  <r>
    <s v="VCG-2024-0232"/>
    <x v="213"/>
    <x v="2"/>
    <x v="2"/>
    <x v="0"/>
    <x v="17"/>
    <n v="190"/>
    <n v="3500"/>
    <n v="665000"/>
    <n v="9"/>
    <n v="31500"/>
    <n v="181"/>
    <n v="633500"/>
    <s v="Wholesale"/>
  </r>
  <r>
    <s v="VCG-2024-0426"/>
    <x v="213"/>
    <x v="4"/>
    <x v="2"/>
    <x v="0"/>
    <x v="3"/>
    <n v="57"/>
    <n v="450"/>
    <n v="25650"/>
    <n v="4"/>
    <n v="1800"/>
    <n v="53"/>
    <n v="23850"/>
    <s v="Wholesale"/>
  </r>
  <r>
    <s v="VCG-2024-0284"/>
    <x v="214"/>
    <x v="4"/>
    <x v="6"/>
    <x v="0"/>
    <x v="0"/>
    <n v="106"/>
    <n v="500"/>
    <n v="53000"/>
    <n v="8"/>
    <n v="4000"/>
    <n v="98"/>
    <n v="49000"/>
    <s v="Retail"/>
  </r>
  <r>
    <s v="VCG-2024-0318"/>
    <x v="214"/>
    <x v="0"/>
    <x v="7"/>
    <x v="1"/>
    <x v="18"/>
    <n v="53"/>
    <n v="1500"/>
    <n v="79500"/>
    <n v="4"/>
    <n v="6000"/>
    <n v="49"/>
    <n v="73500"/>
    <s v="Distributor"/>
  </r>
  <r>
    <s v="VCG-2024-0110"/>
    <x v="215"/>
    <x v="2"/>
    <x v="5"/>
    <x v="1"/>
    <x v="12"/>
    <n v="168"/>
    <n v="1200"/>
    <n v="201600"/>
    <n v="9"/>
    <n v="10800"/>
    <n v="159"/>
    <n v="190800"/>
    <s v="Distributor"/>
  </r>
  <r>
    <s v="VCG-2024-0310"/>
    <x v="215"/>
    <x v="4"/>
    <x v="7"/>
    <x v="2"/>
    <x v="14"/>
    <n v="51"/>
    <n v="650"/>
    <n v="33150"/>
    <n v="4"/>
    <n v="2600"/>
    <n v="47"/>
    <n v="30550"/>
    <s v="Distributor"/>
  </r>
  <r>
    <s v="VCG-2024-0475"/>
    <x v="216"/>
    <x v="5"/>
    <x v="5"/>
    <x v="2"/>
    <x v="5"/>
    <n v="81"/>
    <n v="200"/>
    <n v="16200"/>
    <n v="6"/>
    <n v="1200"/>
    <n v="75"/>
    <n v="15000"/>
    <s v="Distributor"/>
  </r>
  <r>
    <s v="VCG-2024-0193"/>
    <x v="217"/>
    <x v="1"/>
    <x v="9"/>
    <x v="2"/>
    <x v="10"/>
    <n v="170"/>
    <n v="1400"/>
    <n v="238000"/>
    <n v="10"/>
    <n v="14000"/>
    <n v="160"/>
    <n v="224000"/>
    <s v="Retail"/>
  </r>
  <r>
    <s v="VCG-2024-0424"/>
    <x v="217"/>
    <x v="3"/>
    <x v="7"/>
    <x v="2"/>
    <x v="4"/>
    <n v="93"/>
    <n v="900"/>
    <n v="83700"/>
    <n v="0"/>
    <n v="0"/>
    <n v="93"/>
    <n v="83700"/>
    <s v="Wholesale"/>
  </r>
  <r>
    <s v="VCG-2024-0302"/>
    <x v="218"/>
    <x v="3"/>
    <x v="9"/>
    <x v="2"/>
    <x v="16"/>
    <n v="181"/>
    <n v="850"/>
    <n v="153850"/>
    <n v="0"/>
    <n v="0"/>
    <n v="181"/>
    <n v="153850"/>
    <s v="Retail"/>
  </r>
  <r>
    <s v="VCG-2024-0477"/>
    <x v="218"/>
    <x v="0"/>
    <x v="4"/>
    <x v="0"/>
    <x v="15"/>
    <n v="192"/>
    <n v="900"/>
    <n v="172800"/>
    <n v="0"/>
    <n v="0"/>
    <n v="192"/>
    <n v="172800"/>
    <s v="Distributor"/>
  </r>
  <r>
    <s v="VCG-2024-0463"/>
    <x v="219"/>
    <x v="3"/>
    <x v="5"/>
    <x v="0"/>
    <x v="3"/>
    <n v="124"/>
    <n v="450"/>
    <n v="55800"/>
    <n v="10"/>
    <n v="4500"/>
    <n v="114"/>
    <n v="51300"/>
    <s v="Wholesale"/>
  </r>
  <r>
    <s v="VCG-2024-0435"/>
    <x v="220"/>
    <x v="5"/>
    <x v="3"/>
    <x v="0"/>
    <x v="17"/>
    <n v="86"/>
    <n v="3500"/>
    <n v="301000"/>
    <n v="0"/>
    <n v="0"/>
    <n v="86"/>
    <n v="301000"/>
    <s v="Retail"/>
  </r>
  <r>
    <s v="VCG-2024-0117"/>
    <x v="221"/>
    <x v="4"/>
    <x v="8"/>
    <x v="1"/>
    <x v="6"/>
    <n v="149"/>
    <n v="400"/>
    <n v="59600"/>
    <n v="6"/>
    <n v="2400"/>
    <n v="143"/>
    <n v="57200"/>
    <s v="Distributor"/>
  </r>
  <r>
    <s v="VCG-2024-0381"/>
    <x v="221"/>
    <x v="0"/>
    <x v="4"/>
    <x v="0"/>
    <x v="11"/>
    <n v="57"/>
    <n v="1200"/>
    <n v="68400"/>
    <n v="0"/>
    <n v="0"/>
    <n v="57"/>
    <n v="68400"/>
    <s v="Retail"/>
  </r>
  <r>
    <s v="VCG-2024-0376"/>
    <x v="221"/>
    <x v="0"/>
    <x v="2"/>
    <x v="0"/>
    <x v="3"/>
    <n v="83"/>
    <n v="450"/>
    <n v="37350"/>
    <n v="0"/>
    <n v="0"/>
    <n v="83"/>
    <n v="37350"/>
    <s v="Retail"/>
  </r>
  <r>
    <s v="VCG-2024-0058"/>
    <x v="222"/>
    <x v="5"/>
    <x v="7"/>
    <x v="1"/>
    <x v="6"/>
    <n v="188"/>
    <n v="400"/>
    <n v="75200"/>
    <n v="7"/>
    <n v="2800"/>
    <n v="181"/>
    <n v="72400"/>
    <s v="Wholesale"/>
  </r>
  <r>
    <s v="VCG-2024-0468"/>
    <x v="223"/>
    <x v="2"/>
    <x v="4"/>
    <x v="1"/>
    <x v="13"/>
    <n v="6"/>
    <n v="700"/>
    <n v="4200"/>
    <n v="0"/>
    <n v="0"/>
    <n v="6"/>
    <n v="4200"/>
    <s v="Wholesale"/>
  </r>
  <r>
    <s v="VCG-2024-0029"/>
    <x v="224"/>
    <x v="1"/>
    <x v="0"/>
    <x v="1"/>
    <x v="12"/>
    <n v="23"/>
    <n v="1200"/>
    <n v="27600"/>
    <n v="1"/>
    <n v="1200"/>
    <n v="22"/>
    <n v="26400"/>
    <s v="Distributor"/>
  </r>
  <r>
    <s v="VCG-2024-0280"/>
    <x v="225"/>
    <x v="5"/>
    <x v="1"/>
    <x v="0"/>
    <x v="15"/>
    <n v="101"/>
    <n v="900"/>
    <n v="90900"/>
    <n v="7"/>
    <n v="6300"/>
    <n v="94"/>
    <n v="84600"/>
    <s v="Distributor"/>
  </r>
  <r>
    <s v="VCG-2024-0422"/>
    <x v="226"/>
    <x v="1"/>
    <x v="9"/>
    <x v="2"/>
    <x v="8"/>
    <n v="185"/>
    <n v="1100"/>
    <n v="203500"/>
    <n v="3"/>
    <n v="3300"/>
    <n v="182"/>
    <n v="200200"/>
    <s v="Distributor"/>
  </r>
  <r>
    <s v="VCG-2024-0120"/>
    <x v="226"/>
    <x v="2"/>
    <x v="4"/>
    <x v="0"/>
    <x v="0"/>
    <n v="144"/>
    <n v="500"/>
    <n v="72000"/>
    <n v="11"/>
    <n v="5500"/>
    <n v="133"/>
    <n v="66500"/>
    <s v="Wholesale"/>
  </r>
  <r>
    <s v="VCG-2024-0261"/>
    <x v="227"/>
    <x v="0"/>
    <x v="6"/>
    <x v="0"/>
    <x v="3"/>
    <n v="89"/>
    <n v="450"/>
    <n v="40050"/>
    <n v="8"/>
    <n v="3600"/>
    <n v="81"/>
    <n v="36450"/>
    <s v="Retail"/>
  </r>
  <r>
    <s v="VCG-2024-0047"/>
    <x v="227"/>
    <x v="1"/>
    <x v="0"/>
    <x v="0"/>
    <x v="11"/>
    <n v="72"/>
    <n v="1200"/>
    <n v="86400"/>
    <n v="0"/>
    <n v="0"/>
    <n v="72"/>
    <n v="86400"/>
    <s v="Retail"/>
  </r>
  <r>
    <s v="VCG-2024-0231"/>
    <x v="228"/>
    <x v="2"/>
    <x v="10"/>
    <x v="0"/>
    <x v="11"/>
    <n v="96"/>
    <n v="1200"/>
    <n v="115200"/>
    <n v="0"/>
    <n v="0"/>
    <n v="96"/>
    <n v="115200"/>
    <s v="Distributor"/>
  </r>
  <r>
    <s v="VCG-2024-0212"/>
    <x v="229"/>
    <x v="3"/>
    <x v="1"/>
    <x v="0"/>
    <x v="15"/>
    <n v="8"/>
    <n v="900"/>
    <n v="7200"/>
    <n v="1"/>
    <n v="900"/>
    <n v="7"/>
    <n v="6300"/>
    <s v="Retail"/>
  </r>
  <r>
    <s v="VCG-2024-0150"/>
    <x v="229"/>
    <x v="0"/>
    <x v="3"/>
    <x v="2"/>
    <x v="8"/>
    <n v="120"/>
    <n v="1100"/>
    <n v="132000"/>
    <n v="10"/>
    <n v="11000"/>
    <n v="110"/>
    <n v="121000"/>
    <s v="Distributor"/>
  </r>
  <r>
    <s v="VCG-2024-0384"/>
    <x v="230"/>
    <x v="4"/>
    <x v="9"/>
    <x v="2"/>
    <x v="7"/>
    <n v="142"/>
    <n v="1800"/>
    <n v="255600"/>
    <n v="0"/>
    <n v="0"/>
    <n v="142"/>
    <n v="255600"/>
    <s v="Wholesale"/>
  </r>
  <r>
    <s v="VCG-2024-0169"/>
    <x v="230"/>
    <x v="2"/>
    <x v="0"/>
    <x v="2"/>
    <x v="5"/>
    <n v="141"/>
    <n v="200"/>
    <n v="28200"/>
    <n v="4"/>
    <n v="800"/>
    <n v="137"/>
    <n v="27400"/>
    <s v="Distributor"/>
  </r>
  <r>
    <s v="VCG-2024-0364"/>
    <x v="230"/>
    <x v="3"/>
    <x v="9"/>
    <x v="0"/>
    <x v="17"/>
    <n v="159"/>
    <n v="3500"/>
    <n v="556500"/>
    <n v="5"/>
    <n v="17500"/>
    <n v="154"/>
    <n v="539000"/>
    <s v="Wholesale"/>
  </r>
  <r>
    <s v="VCG-2024-0336"/>
    <x v="231"/>
    <x v="2"/>
    <x v="9"/>
    <x v="2"/>
    <x v="14"/>
    <n v="19"/>
    <n v="650"/>
    <n v="12350"/>
    <n v="1"/>
    <n v="650"/>
    <n v="18"/>
    <n v="11700"/>
    <s v="Wholesale"/>
  </r>
  <r>
    <s v="VCG-2024-0077"/>
    <x v="232"/>
    <x v="5"/>
    <x v="9"/>
    <x v="0"/>
    <x v="3"/>
    <n v="182"/>
    <n v="450"/>
    <n v="81900"/>
    <n v="10"/>
    <n v="4500"/>
    <n v="172"/>
    <n v="77400"/>
    <s v="Wholesale"/>
  </r>
  <r>
    <s v="VCG-2024-0383"/>
    <x v="233"/>
    <x v="3"/>
    <x v="9"/>
    <x v="2"/>
    <x v="20"/>
    <n v="43"/>
    <n v="1200"/>
    <n v="51600"/>
    <n v="0"/>
    <n v="0"/>
    <n v="43"/>
    <n v="51600"/>
    <s v="Retail"/>
  </r>
  <r>
    <s v="VCG-2024-0430"/>
    <x v="233"/>
    <x v="2"/>
    <x v="3"/>
    <x v="1"/>
    <x v="2"/>
    <n v="66"/>
    <n v="2200"/>
    <n v="145200"/>
    <n v="2"/>
    <n v="4400"/>
    <n v="64"/>
    <n v="140800"/>
    <s v="Retail"/>
  </r>
  <r>
    <s v="VCG-2024-0154"/>
    <x v="233"/>
    <x v="5"/>
    <x v="0"/>
    <x v="1"/>
    <x v="9"/>
    <n v="39"/>
    <n v="1600"/>
    <n v="62400"/>
    <n v="2"/>
    <n v="3200"/>
    <n v="37"/>
    <n v="59200"/>
    <s v="Distributor"/>
  </r>
  <r>
    <s v="VCG-2024-0301"/>
    <x v="234"/>
    <x v="5"/>
    <x v="8"/>
    <x v="2"/>
    <x v="8"/>
    <n v="128"/>
    <n v="1100"/>
    <n v="140800"/>
    <n v="3"/>
    <n v="3300"/>
    <n v="125"/>
    <n v="137500"/>
    <s v="Unknown"/>
  </r>
  <r>
    <s v="VCG-2024-0439"/>
    <x v="234"/>
    <x v="2"/>
    <x v="9"/>
    <x v="1"/>
    <x v="2"/>
    <n v="165"/>
    <n v="2200"/>
    <n v="363000"/>
    <n v="0"/>
    <n v="0"/>
    <n v="165"/>
    <n v="363000"/>
    <s v="Retail"/>
  </r>
  <r>
    <s v="VCG-2024-0059"/>
    <x v="235"/>
    <x v="1"/>
    <x v="4"/>
    <x v="2"/>
    <x v="8"/>
    <n v="12"/>
    <n v="1100"/>
    <n v="13200"/>
    <n v="0"/>
    <n v="0"/>
    <n v="12"/>
    <n v="13200"/>
    <s v="Wholesale"/>
  </r>
  <r>
    <s v="VCG-2024-0224"/>
    <x v="235"/>
    <x v="5"/>
    <x v="2"/>
    <x v="1"/>
    <x v="2"/>
    <n v="133"/>
    <n v="2200"/>
    <n v="292600"/>
    <n v="13"/>
    <n v="28600"/>
    <n v="120"/>
    <n v="264000"/>
    <s v="Retail"/>
  </r>
  <r>
    <s v="VCG-2024-0276"/>
    <x v="236"/>
    <x v="1"/>
    <x v="6"/>
    <x v="1"/>
    <x v="12"/>
    <n v="116"/>
    <n v="1200"/>
    <n v="139200"/>
    <n v="11"/>
    <n v="13200"/>
    <n v="105"/>
    <n v="126000"/>
    <s v="Distributor"/>
  </r>
  <r>
    <s v="VCG-2024-0001"/>
    <x v="237"/>
    <x v="3"/>
    <x v="0"/>
    <x v="2"/>
    <x v="14"/>
    <n v="193"/>
    <n v="650"/>
    <n v="125450"/>
    <n v="1"/>
    <n v="650"/>
    <n v="192"/>
    <n v="124800"/>
    <s v="Retail"/>
  </r>
  <r>
    <s v="VCG-2024-0405"/>
    <x v="237"/>
    <x v="0"/>
    <x v="6"/>
    <x v="0"/>
    <x v="15"/>
    <n v="186"/>
    <n v="900"/>
    <n v="167400"/>
    <n v="9"/>
    <n v="8100"/>
    <n v="177"/>
    <n v="159300"/>
    <s v="Distributor"/>
  </r>
  <r>
    <s v="VCG-2024-0472"/>
    <x v="238"/>
    <x v="5"/>
    <x v="5"/>
    <x v="0"/>
    <x v="3"/>
    <n v="118"/>
    <n v="450"/>
    <n v="53100"/>
    <n v="3"/>
    <n v="1350"/>
    <n v="115"/>
    <n v="51750"/>
    <s v="Wholesale"/>
  </r>
  <r>
    <s v="VCG-2024-0098"/>
    <x v="238"/>
    <x v="4"/>
    <x v="4"/>
    <x v="0"/>
    <x v="11"/>
    <n v="39"/>
    <n v="1200"/>
    <n v="46800"/>
    <n v="0"/>
    <n v="0"/>
    <n v="39"/>
    <n v="46800"/>
    <s v="Retail"/>
  </r>
  <r>
    <s v="VCG-2024-0332"/>
    <x v="239"/>
    <x v="4"/>
    <x v="2"/>
    <x v="2"/>
    <x v="14"/>
    <n v="105"/>
    <n v="650"/>
    <n v="68250"/>
    <n v="3"/>
    <n v="1950"/>
    <n v="102"/>
    <n v="66300"/>
    <s v="Distributor"/>
  </r>
  <r>
    <s v="VCG-2024-0133"/>
    <x v="239"/>
    <x v="0"/>
    <x v="7"/>
    <x v="1"/>
    <x v="13"/>
    <n v="101"/>
    <n v="700"/>
    <n v="70700"/>
    <n v="10"/>
    <n v="7000"/>
    <n v="91"/>
    <n v="63700"/>
    <s v="Wholesale"/>
  </r>
  <r>
    <s v="VCG-2024-0355"/>
    <x v="239"/>
    <x v="1"/>
    <x v="0"/>
    <x v="2"/>
    <x v="7"/>
    <n v="198"/>
    <n v="1800"/>
    <n v="356400"/>
    <n v="18"/>
    <n v="32400"/>
    <n v="180"/>
    <n v="324000"/>
    <s v="Distributor"/>
  </r>
  <r>
    <s v="VCG-2024-0370"/>
    <x v="240"/>
    <x v="2"/>
    <x v="2"/>
    <x v="0"/>
    <x v="11"/>
    <n v="69"/>
    <n v="1200"/>
    <n v="82800"/>
    <n v="2"/>
    <n v="2400"/>
    <n v="67"/>
    <n v="80400"/>
    <s v="Distributor"/>
  </r>
  <r>
    <s v="VCG-2024-0094"/>
    <x v="241"/>
    <x v="2"/>
    <x v="6"/>
    <x v="2"/>
    <x v="8"/>
    <n v="125"/>
    <n v="1100"/>
    <n v="137500"/>
    <n v="0"/>
    <n v="0"/>
    <n v="125"/>
    <n v="137500"/>
    <s v="Retail"/>
  </r>
  <r>
    <s v="VCG-2024-0002"/>
    <x v="241"/>
    <x v="0"/>
    <x v="0"/>
    <x v="1"/>
    <x v="12"/>
    <n v="76"/>
    <n v="0"/>
    <n v="0"/>
    <n v="5"/>
    <n v="0"/>
    <n v="71"/>
    <n v="0"/>
    <s v="Wholesale"/>
  </r>
  <r>
    <s v="VCG-2024-0206"/>
    <x v="242"/>
    <x v="0"/>
    <x v="6"/>
    <x v="2"/>
    <x v="20"/>
    <n v="89"/>
    <n v="1200"/>
    <n v="106800"/>
    <n v="8"/>
    <n v="9600"/>
    <n v="81"/>
    <n v="97200"/>
    <s v="Wholesale"/>
  </r>
  <r>
    <s v="VCG-2024-0266"/>
    <x v="242"/>
    <x v="5"/>
    <x v="2"/>
    <x v="0"/>
    <x v="0"/>
    <n v="101"/>
    <n v="500"/>
    <n v="50500"/>
    <n v="5"/>
    <n v="2500"/>
    <n v="96"/>
    <n v="48000"/>
    <s v="Unknown"/>
  </r>
  <r>
    <s v="VCG-2024-0114"/>
    <x v="242"/>
    <x v="3"/>
    <x v="8"/>
    <x v="2"/>
    <x v="20"/>
    <n v="115"/>
    <n v="1200"/>
    <n v="138000"/>
    <n v="0"/>
    <n v="0"/>
    <n v="115"/>
    <n v="138000"/>
    <s v="Distributor"/>
  </r>
  <r>
    <s v="VCG-2024-0347"/>
    <x v="243"/>
    <x v="3"/>
    <x v="0"/>
    <x v="1"/>
    <x v="2"/>
    <n v="54"/>
    <n v="2200"/>
    <n v="118800"/>
    <n v="2"/>
    <n v="4400"/>
    <n v="52"/>
    <n v="114400"/>
    <s v="Retail"/>
  </r>
  <r>
    <s v="VCG-2024-0088"/>
    <x v="244"/>
    <x v="5"/>
    <x v="6"/>
    <x v="1"/>
    <x v="9"/>
    <n v="154"/>
    <n v="1600"/>
    <n v="246400"/>
    <n v="12"/>
    <n v="19200"/>
    <n v="142"/>
    <n v="227200"/>
    <s v="Retail"/>
  </r>
  <r>
    <s v="VCG-2024-0106"/>
    <x v="245"/>
    <x v="4"/>
    <x v="9"/>
    <x v="1"/>
    <x v="12"/>
    <n v="151"/>
    <n v="1200"/>
    <n v="181200"/>
    <n v="2"/>
    <n v="2400"/>
    <n v="149"/>
    <n v="178800"/>
    <s v="Retail"/>
  </r>
  <r>
    <s v="VCG-2024-0306"/>
    <x v="245"/>
    <x v="0"/>
    <x v="0"/>
    <x v="0"/>
    <x v="3"/>
    <n v="132"/>
    <n v="450"/>
    <n v="59400"/>
    <n v="5"/>
    <n v="2250"/>
    <n v="127"/>
    <n v="57150"/>
    <s v="Retail"/>
  </r>
  <r>
    <s v="VCG-2024-0183"/>
    <x v="246"/>
    <x v="2"/>
    <x v="1"/>
    <x v="0"/>
    <x v="17"/>
    <n v="12"/>
    <n v="3500"/>
    <n v="42000"/>
    <n v="0"/>
    <n v="0"/>
    <n v="12"/>
    <n v="42000"/>
    <s v="Distributor"/>
  </r>
  <r>
    <s v="VCG-2024-0087"/>
    <x v="247"/>
    <x v="5"/>
    <x v="6"/>
    <x v="1"/>
    <x v="18"/>
    <n v="77"/>
    <n v="1500"/>
    <n v="115500"/>
    <n v="0"/>
    <n v="0"/>
    <n v="77"/>
    <n v="115500"/>
    <s v="Wholesale"/>
  </r>
  <r>
    <s v="VCG-2024-0445"/>
    <x v="248"/>
    <x v="5"/>
    <x v="9"/>
    <x v="2"/>
    <x v="8"/>
    <n v="134"/>
    <n v="1100"/>
    <n v="147400"/>
    <n v="8"/>
    <n v="8800"/>
    <n v="126"/>
    <n v="138600"/>
    <s v="Retail"/>
  </r>
  <r>
    <s v="VCG-2024-0466"/>
    <x v="249"/>
    <x v="2"/>
    <x v="8"/>
    <x v="0"/>
    <x v="3"/>
    <n v="31"/>
    <n v="450"/>
    <n v="13950"/>
    <n v="0"/>
    <n v="0"/>
    <n v="31"/>
    <n v="13950"/>
    <s v="Retail"/>
  </r>
  <r>
    <s v="VCG-2024-0038"/>
    <x v="250"/>
    <x v="0"/>
    <x v="7"/>
    <x v="0"/>
    <x v="11"/>
    <n v="24"/>
    <n v="1200"/>
    <n v="28800"/>
    <n v="1"/>
    <n v="1200"/>
    <n v="23"/>
    <n v="27600"/>
    <s v="Distributor"/>
  </r>
  <r>
    <s v="VCG-2024-0385"/>
    <x v="250"/>
    <x v="3"/>
    <x v="2"/>
    <x v="1"/>
    <x v="2"/>
    <n v="30"/>
    <n v="2200"/>
    <n v="66000"/>
    <n v="0"/>
    <n v="0"/>
    <n v="30"/>
    <n v="66000"/>
    <s v="Distributor"/>
  </r>
  <r>
    <s v="VCG-2024-0443"/>
    <x v="250"/>
    <x v="2"/>
    <x v="7"/>
    <x v="2"/>
    <x v="7"/>
    <n v="79"/>
    <n v="1800"/>
    <n v="142200"/>
    <n v="0"/>
    <n v="0"/>
    <n v="79"/>
    <n v="142200"/>
    <s v="Unknown"/>
  </r>
  <r>
    <s v="VCG-2024-0356"/>
    <x v="251"/>
    <x v="0"/>
    <x v="3"/>
    <x v="2"/>
    <x v="7"/>
    <n v="161"/>
    <n v="1800"/>
    <n v="289800"/>
    <n v="0"/>
    <n v="0"/>
    <n v="161"/>
    <n v="289800"/>
    <s v="Unknown"/>
  </r>
  <r>
    <s v="VCG-2024-0343"/>
    <x v="251"/>
    <x v="5"/>
    <x v="9"/>
    <x v="2"/>
    <x v="5"/>
    <n v="95"/>
    <n v="200"/>
    <n v="19000"/>
    <n v="6"/>
    <n v="1200"/>
    <n v="89"/>
    <n v="17800"/>
    <s v="Distributor"/>
  </r>
  <r>
    <s v="VCG-2024-0175"/>
    <x v="252"/>
    <x v="1"/>
    <x v="3"/>
    <x v="2"/>
    <x v="4"/>
    <n v="182"/>
    <n v="900"/>
    <n v="163800"/>
    <n v="3"/>
    <n v="2700"/>
    <n v="179"/>
    <n v="161100"/>
    <s v="Retail"/>
  </r>
  <r>
    <s v="VCG-2024-0453"/>
    <x v="253"/>
    <x v="0"/>
    <x v="2"/>
    <x v="1"/>
    <x v="12"/>
    <n v="56"/>
    <n v="1200"/>
    <n v="67200"/>
    <n v="3"/>
    <n v="3600"/>
    <n v="53"/>
    <n v="63600"/>
    <s v="Retail"/>
  </r>
  <r>
    <s v="VCG-2024-0319"/>
    <x v="253"/>
    <x v="1"/>
    <x v="2"/>
    <x v="0"/>
    <x v="17"/>
    <n v="67"/>
    <n v="3500"/>
    <n v="234500"/>
    <n v="0"/>
    <n v="0"/>
    <n v="67"/>
    <n v="234500"/>
    <s v="Wholesale"/>
  </r>
  <r>
    <s v="VCG-2024-0248"/>
    <x v="253"/>
    <x v="5"/>
    <x v="9"/>
    <x v="2"/>
    <x v="8"/>
    <n v="56"/>
    <n v="1100"/>
    <n v="61600"/>
    <n v="5"/>
    <n v="5500"/>
    <n v="51"/>
    <n v="56100"/>
    <s v="Wholesale"/>
  </r>
  <r>
    <s v="VCG-2024-0270"/>
    <x v="254"/>
    <x v="4"/>
    <x v="5"/>
    <x v="0"/>
    <x v="17"/>
    <n v="63"/>
    <n v="3500"/>
    <n v="220500"/>
    <n v="5"/>
    <n v="17500"/>
    <n v="58"/>
    <n v="203000"/>
    <s v="Distributor"/>
  </r>
  <r>
    <s v="VCG-2024-0228"/>
    <x v="254"/>
    <x v="3"/>
    <x v="4"/>
    <x v="1"/>
    <x v="13"/>
    <n v="53"/>
    <n v="700"/>
    <n v="37100"/>
    <n v="0"/>
    <n v="0"/>
    <n v="53"/>
    <n v="37100"/>
    <s v="Wholesale"/>
  </r>
  <r>
    <s v="VCG-2024-0111"/>
    <x v="255"/>
    <x v="4"/>
    <x v="7"/>
    <x v="1"/>
    <x v="19"/>
    <n v="57"/>
    <n v="1800"/>
    <n v="102600"/>
    <n v="2"/>
    <n v="3600"/>
    <n v="55"/>
    <n v="99000"/>
    <s v="Distributor"/>
  </r>
  <r>
    <s v="VCG-2024-0178"/>
    <x v="256"/>
    <x v="3"/>
    <x v="0"/>
    <x v="0"/>
    <x v="1"/>
    <n v="135"/>
    <n v="2800"/>
    <n v="378000"/>
    <n v="12"/>
    <n v="33600"/>
    <n v="123"/>
    <n v="344400"/>
    <s v="Wholesale"/>
  </r>
  <r>
    <s v="VCG-2024-0418"/>
    <x v="257"/>
    <x v="1"/>
    <x v="6"/>
    <x v="2"/>
    <x v="5"/>
    <n v="55"/>
    <n v="200"/>
    <n v="11000"/>
    <n v="0"/>
    <n v="0"/>
    <n v="55"/>
    <n v="11000"/>
    <s v="Distributor"/>
  </r>
  <r>
    <s v="VCG-2024-0397"/>
    <x v="258"/>
    <x v="5"/>
    <x v="4"/>
    <x v="1"/>
    <x v="18"/>
    <n v="150"/>
    <n v="1500"/>
    <n v="225000"/>
    <n v="0"/>
    <n v="0"/>
    <n v="150"/>
    <n v="225000"/>
    <s v="Distributor"/>
  </r>
  <r>
    <s v="VCG-2024-0053"/>
    <x v="259"/>
    <x v="1"/>
    <x v="5"/>
    <x v="2"/>
    <x v="14"/>
    <n v="84"/>
    <n v="650"/>
    <n v="54600"/>
    <n v="1"/>
    <n v="650"/>
    <n v="83"/>
    <n v="53950"/>
    <s v="Distributor"/>
  </r>
  <r>
    <s v="VCG-2024-0294"/>
    <x v="259"/>
    <x v="5"/>
    <x v="5"/>
    <x v="1"/>
    <x v="6"/>
    <n v="196"/>
    <n v="400"/>
    <n v="78400"/>
    <n v="9"/>
    <n v="3600"/>
    <n v="187"/>
    <n v="74800"/>
    <s v="Wholesale"/>
  </r>
  <r>
    <s v="VCG-2024-0062"/>
    <x v="260"/>
    <x v="0"/>
    <x v="1"/>
    <x v="2"/>
    <x v="7"/>
    <n v="160"/>
    <n v="1800"/>
    <n v="288000"/>
    <n v="7"/>
    <n v="12600"/>
    <n v="153"/>
    <n v="275400"/>
    <s v="Distributor"/>
  </r>
  <r>
    <s v="VCG-2024-0147"/>
    <x v="261"/>
    <x v="4"/>
    <x v="7"/>
    <x v="0"/>
    <x v="0"/>
    <n v="149"/>
    <n v="500"/>
    <n v="74500"/>
    <n v="3"/>
    <n v="1500"/>
    <n v="146"/>
    <n v="73000"/>
    <s v="Wholesale"/>
  </r>
  <r>
    <s v="VCG-2024-0163"/>
    <x v="262"/>
    <x v="1"/>
    <x v="5"/>
    <x v="2"/>
    <x v="14"/>
    <n v="98"/>
    <n v="650"/>
    <n v="63700"/>
    <n v="8"/>
    <n v="5200"/>
    <n v="90"/>
    <n v="58500"/>
    <s v="Wholesale"/>
  </r>
  <r>
    <s v="VCG-2024-0129"/>
    <x v="262"/>
    <x v="1"/>
    <x v="1"/>
    <x v="1"/>
    <x v="12"/>
    <n v="61"/>
    <n v="1200"/>
    <n v="73200"/>
    <n v="4"/>
    <n v="4800"/>
    <n v="57"/>
    <n v="68400"/>
    <s v="Wholesale"/>
  </r>
  <r>
    <s v="VCG-2024-0275"/>
    <x v="263"/>
    <x v="2"/>
    <x v="2"/>
    <x v="0"/>
    <x v="11"/>
    <n v="119"/>
    <n v="1200"/>
    <n v="142800"/>
    <n v="5"/>
    <n v="6000"/>
    <n v="114"/>
    <n v="136800"/>
    <s v="Distributor"/>
  </r>
  <r>
    <s v="VCG-2024-0203"/>
    <x v="264"/>
    <x v="3"/>
    <x v="4"/>
    <x v="2"/>
    <x v="8"/>
    <n v="58"/>
    <n v="1100"/>
    <n v="63800"/>
    <n v="0"/>
    <n v="0"/>
    <n v="58"/>
    <n v="63800"/>
    <s v="Retail"/>
  </r>
  <r>
    <s v="VCG-2024-0144"/>
    <x v="264"/>
    <x v="2"/>
    <x v="8"/>
    <x v="1"/>
    <x v="18"/>
    <n v="20"/>
    <n v="1500"/>
    <n v="30000"/>
    <n v="1"/>
    <n v="1500"/>
    <n v="19"/>
    <n v="28500"/>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CF3302-C15F-42BD-B951-68DDEA46FC5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Net Revenue" fld="12" subtotal="min"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4B45D-BF34-4F7B-AC3C-17E241403F6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9:B32" firstHeaderRow="1" firstDataRow="1" firstDataCol="1"/>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Net Revenue" fld="12" baseField="0" baseItem="0" numFmtId="167"/>
  </dataFields>
  <formats count="6">
    <format dxfId="13">
      <pivotArea type="all" dataOnly="0" outline="0" fieldPosition="0"/>
    </format>
    <format dxfId="12">
      <pivotArea outline="0" collapsedLevelsAreSubtotals="1" fieldPosition="0"/>
    </format>
    <format dxfId="11">
      <pivotArea field="4" type="button" dataOnly="0" labelOnly="1" outline="0"/>
    </format>
    <format dxfId="10">
      <pivotArea dataOnly="0" labelOnly="1" grandRow="1" outline="0" fieldPosition="0"/>
    </format>
    <format dxfId="9">
      <pivotArea dataOnly="0" labelOnly="1" outline="0" axis="axisValues" fieldPosition="0"/>
    </format>
    <format dxfId="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9B91C-E496-4B49-AC8A-445F86C48C4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Revenue" fld="12"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94FDF-DA2A-4036-96BF-1A7F7C252F2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Net Revenue" fld="1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769AE4-75A1-4BAE-AD42-2232F96BF1D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B13" firstHeaderRow="1" firstDataRow="1" firstDataCol="1"/>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axis="axisRow"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Net Revenue" fld="12" baseField="0" baseItem="0" numFmtId="167"/>
  </dataFields>
  <formats count="7">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outline="0" axis="axisValues" fieldPosition="0"/>
    </format>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34FA8-8AB0-4FF6-9BCC-5772E5E79D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dataField="1"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Unit Sold" fld="11"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7F3B14-F53D-41E7-ADD4-639CFFF04D4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Net Revenue" fld="12" subtotal="max" baseField="0" baseItem="0" numFmtId="167"/>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8C7A23-D92E-401C-AC37-15CC5CB4A175}"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8:E15" firstHeaderRow="1" firstDataRow="1" firstDataCol="1"/>
  <pivotFields count="16">
    <pivotField showAll="0"/>
    <pivotField numFmtId="165"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showAll="0">
      <items count="7">
        <item x="2"/>
        <item x="5"/>
        <item x="4"/>
        <item x="0"/>
        <item x="1"/>
        <item x="3"/>
        <item t="default"/>
      </items>
    </pivotField>
    <pivotField showAll="0">
      <items count="12">
        <item x="9"/>
        <item x="7"/>
        <item x="8"/>
        <item x="4"/>
        <item x="2"/>
        <item x="6"/>
        <item x="0"/>
        <item x="1"/>
        <item x="3"/>
        <item x="5"/>
        <item x="10"/>
        <item t="default"/>
      </items>
    </pivotField>
    <pivotField showAll="0">
      <items count="5">
        <item x="2"/>
        <item x="1"/>
        <item x="0"/>
        <item x="3"/>
        <item t="default"/>
      </items>
    </pivotField>
    <pivotField showAll="0">
      <items count="22">
        <item x="2"/>
        <item x="6"/>
        <item x="15"/>
        <item x="10"/>
        <item x="19"/>
        <item x="17"/>
        <item x="14"/>
        <item x="18"/>
        <item x="8"/>
        <item x="13"/>
        <item x="5"/>
        <item x="16"/>
        <item x="0"/>
        <item x="4"/>
        <item x="20"/>
        <item x="12"/>
        <item x="1"/>
        <item x="9"/>
        <item x="7"/>
        <item x="3"/>
        <item x="11"/>
        <item t="default"/>
      </items>
    </pivotField>
    <pivotField showAll="0"/>
    <pivotField numFmtId="166" showAll="0"/>
    <pivotField numFmtId="166" showAll="0"/>
    <pivotField showAll="0"/>
    <pivotField numFmtId="166" showAll="0"/>
    <pivotField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Net Revenue" fld="12" baseField="0" baseItem="0" numFmtId="167"/>
  </dataFields>
  <formats count="6">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0E9852-03EF-462D-9664-363138528590}" sourceName="Region">
  <pivotTables>
    <pivotTable tabId="10" name="PivotTable25"/>
    <pivotTable tabId="10" name="PivotTable15"/>
    <pivotTable tabId="10" name="PivotTable17"/>
    <pivotTable tabId="10" name="PivotTable19"/>
    <pivotTable tabId="10" name="PivotTable21"/>
    <pivotTable tabId="10" name="PivotTable23"/>
    <pivotTable tabId="10" name="PivotTable27"/>
    <pivotTable tabId="10" name="PivotTable2"/>
  </pivotTables>
  <data>
    <tabular pivotCacheId="1046309662">
      <items count="6">
        <i x="2" s="1"/>
        <i x="5"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6845518B-B347-4C99-9CF1-8BF26D39CA48}" sourceName="Sales_Rep">
  <pivotTables>
    <pivotTable tabId="10" name="PivotTable25"/>
    <pivotTable tabId="10" name="PivotTable15"/>
    <pivotTable tabId="10" name="PivotTable17"/>
    <pivotTable tabId="10" name="PivotTable19"/>
    <pivotTable tabId="10" name="PivotTable21"/>
    <pivotTable tabId="10" name="PivotTable23"/>
    <pivotTable tabId="10" name="PivotTable27"/>
    <pivotTable tabId="10" name="PivotTable2"/>
  </pivotTables>
  <data>
    <tabular pivotCacheId="1046309662">
      <items count="11">
        <i x="9" s="1"/>
        <i x="7" s="1"/>
        <i x="8" s="1"/>
        <i x="4" s="1"/>
        <i x="2" s="1"/>
        <i x="6" s="1"/>
        <i x="0" s="1"/>
        <i x="1" s="1"/>
        <i x="3"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A51F416-3AA0-4975-90EC-4145CC688A4D}" sourceName="Product_Category">
  <pivotTables>
    <pivotTable tabId="10" name="PivotTable25"/>
    <pivotTable tabId="10" name="PivotTable15"/>
    <pivotTable tabId="10" name="PivotTable17"/>
    <pivotTable tabId="10" name="PivotTable19"/>
    <pivotTable tabId="10" name="PivotTable21"/>
    <pivotTable tabId="10" name="PivotTable23"/>
    <pivotTable tabId="10" name="PivotTable27"/>
    <pivotTable tabId="10" name="PivotTable2"/>
  </pivotTables>
  <data>
    <tabular pivotCacheId="1046309662">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9F1437F-DCE0-4A97-8DA0-03E11A1B3EDE}" sourceName="Product_Name">
  <pivotTables>
    <pivotTable tabId="10" name="PivotTable25"/>
    <pivotTable tabId="10" name="PivotTable15"/>
    <pivotTable tabId="10" name="PivotTable17"/>
    <pivotTable tabId="10" name="PivotTable19"/>
    <pivotTable tabId="10" name="PivotTable21"/>
    <pivotTable tabId="10" name="PivotTable23"/>
    <pivotTable tabId="10" name="PivotTable27"/>
    <pivotTable tabId="10" name="PivotTable2"/>
  </pivotTables>
  <data>
    <tabular pivotCacheId="1046309662">
      <items count="21">
        <i x="2" s="1"/>
        <i x="6" s="1"/>
        <i x="15" s="1"/>
        <i x="10" s="1"/>
        <i x="19" s="1"/>
        <i x="17" s="1"/>
        <i x="14" s="1"/>
        <i x="18" s="1"/>
        <i x="8" s="1"/>
        <i x="13" s="1"/>
        <i x="5" s="1"/>
        <i x="16" s="1"/>
        <i x="0" s="1"/>
        <i x="4" s="1"/>
        <i x="20" s="1"/>
        <i x="12" s="1"/>
        <i x="1" s="1"/>
        <i x="9" s="1"/>
        <i x="7" s="1"/>
        <i x="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DF25BB-E1CD-4EBE-B110-BB6D8AFF088A}" cache="Slicer_Region" caption="Region" columnCount="2" rowHeight="241300"/>
  <slicer name="Sales_Rep" xr10:uid="{9C5A0BE6-66E9-4CEE-9786-DCDFEB2E0EBB}" cache="Slicer_Sales_Rep" caption="Sales_Rep" columnCount="2" rowHeight="241300"/>
  <slicer name="Product_Category" xr10:uid="{CCA6C549-336A-4947-9997-3EB86A46408F}" cache="Slicer_Product_Category" caption="Product_Category" columnCount="2" rowHeight="241300"/>
  <slicer name="Product_Name" xr10:uid="{6AA86297-6677-45F3-BB33-62CDF4B8D8C6}" cache="Slicer_Product_Name" caption="Product_Name" startItem="4"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68E5620-B8E4-4E2B-B376-E9B235D57FE3}" cache="Slicer_Region" caption="Region" columnCount="2" rowHeight="241300"/>
  <slicer name="Sales_Rep 1" xr10:uid="{0D4BFA3F-1462-4A9F-A5B6-93CB46BD93A6}" cache="Slicer_Sales_Rep" caption="Sales_Rep" columnCount="2" rowHeight="241300"/>
  <slicer name="Product_Category 1" xr10:uid="{2931D687-E06E-4207-A706-1D2A613E4F32}" cache="Slicer_Product_Category" caption="Product_Category" columnCount="2" rowHeight="241300"/>
  <slicer name="Product_Name 1" xr10:uid="{8F3F066F-1FE2-4285-9F44-BFB2881D56B0}" cache="Slicer_Product_Name" caption="Product_Name" startItem="4"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33D9E-0E74-4A4F-BD8A-AAD257A7ED0E}" name="Table1" displayName="Table1" ref="A1:N481" totalsRowShown="0" headerRowDxfId="6">
  <autoFilter ref="A1:N481" xr:uid="{53A33D9E-0E74-4A4F-BD8A-AAD257A7ED0E}"/>
  <tableColumns count="14">
    <tableColumn id="1" xr3:uid="{EB863F4A-DC9E-4BD9-97C1-5C55F1B9C76C}" name="Transaction_ID"/>
    <tableColumn id="2" xr3:uid="{E78F675F-D24D-4D80-B75E-69CC721771B8}" name="Date" dataDxfId="5"/>
    <tableColumn id="3" xr3:uid="{11638349-2D4D-417B-90B3-A96C6828A0A5}" name="Region"/>
    <tableColumn id="4" xr3:uid="{9FF9E85D-8811-4182-B113-0615478D4CF4}" name="Sales_Rep"/>
    <tableColumn id="5" xr3:uid="{E4C33134-B7F7-48BD-89BE-9532D9597D3B}" name="Product_Category"/>
    <tableColumn id="6" xr3:uid="{85B6F1BF-ABC3-418C-83BA-B4B807D54403}" name="Product_Name"/>
    <tableColumn id="7" xr3:uid="{4740B907-4A89-4ED4-9632-A012A02E5B88}" name="Units_Sold"/>
    <tableColumn id="8" xr3:uid="{CC6A3567-ACC5-41E6-91CE-DA59C3F4E310}" name="Unit_Price" dataDxfId="4"/>
    <tableColumn id="9" xr3:uid="{E1DDB294-98F5-4CF5-872F-8ACE9076C48B}" name="Revenue_NGN" dataDxfId="3"/>
    <tableColumn id="10" xr3:uid="{23E08260-0268-40F9-9FB0-35FE493953A9}" name="Returns"/>
    <tableColumn id="11" xr3:uid="{CDD08775-4F19-42E6-9D39-3039B036EAE3}" name="Returned Amount" dataDxfId="2"/>
    <tableColumn id="14" xr3:uid="{C069E5EE-69A2-4856-9C5C-B429B4EFD341}" name="Net Unit Sold" dataDxfId="1"/>
    <tableColumn id="12" xr3:uid="{03415C70-26F7-4DAC-913B-5FAB3908BC39}" name="Net Revenue" dataDxfId="0"/>
    <tableColumn id="13" xr3:uid="{FC835D58-0B06-445C-93E5-697CA40A26E1}" name="Customer_Seg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6"/>
  <sheetViews>
    <sheetView workbookViewId="0">
      <pane ySplit="1" topLeftCell="A2" activePane="bottomLeft" state="frozen"/>
      <selection pane="bottomLeft" activeCell="L491" sqref="L491"/>
    </sheetView>
  </sheetViews>
  <sheetFormatPr defaultRowHeight="14.5" x14ac:dyDescent="0.35"/>
  <cols>
    <col min="1" max="2" width="18" customWidth="1"/>
    <col min="3" max="3" width="16" customWidth="1"/>
    <col min="4" max="4" width="22" customWidth="1"/>
    <col min="5" max="5" width="18" customWidth="1"/>
    <col min="6" max="6" width="28" customWidth="1"/>
    <col min="7" max="7" width="12" customWidth="1"/>
    <col min="8" max="8" width="16" customWidth="1"/>
    <col min="9" max="9" width="14" customWidth="1"/>
    <col min="10" max="10" width="10" customWidth="1"/>
    <col min="11" max="11" width="18" customWidth="1"/>
  </cols>
  <sheetData>
    <row r="1" spans="1:11" ht="35" customHeight="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3">
        <v>45313</v>
      </c>
      <c r="C2" s="2" t="s">
        <v>12</v>
      </c>
      <c r="D2" s="2" t="s">
        <v>13</v>
      </c>
      <c r="E2" s="2" t="s">
        <v>14</v>
      </c>
      <c r="F2" s="2" t="s">
        <v>15</v>
      </c>
      <c r="G2" s="2">
        <v>126</v>
      </c>
      <c r="H2" s="2">
        <v>1200</v>
      </c>
      <c r="I2" s="2">
        <v>151200</v>
      </c>
      <c r="J2" s="2">
        <v>5</v>
      </c>
      <c r="K2" s="2" t="s">
        <v>16</v>
      </c>
    </row>
    <row r="3" spans="1:11" x14ac:dyDescent="0.35">
      <c r="A3" s="4" t="s">
        <v>17</v>
      </c>
      <c r="B3" s="5">
        <v>45440</v>
      </c>
      <c r="C3" s="4" t="s">
        <v>18</v>
      </c>
      <c r="D3" s="4" t="s">
        <v>19</v>
      </c>
      <c r="E3" s="4" t="s">
        <v>20</v>
      </c>
      <c r="F3" s="4" t="s">
        <v>21</v>
      </c>
      <c r="G3" s="4">
        <v>29</v>
      </c>
      <c r="H3" s="4">
        <v>3500</v>
      </c>
      <c r="I3" s="4">
        <v>69011.146710661764</v>
      </c>
      <c r="J3" s="4">
        <v>1</v>
      </c>
      <c r="K3" s="4" t="s">
        <v>22</v>
      </c>
    </row>
    <row r="4" spans="1:11" x14ac:dyDescent="0.35">
      <c r="A4" s="2" t="s">
        <v>23</v>
      </c>
      <c r="B4" s="2" t="s">
        <v>24</v>
      </c>
      <c r="C4" s="2" t="s">
        <v>25</v>
      </c>
      <c r="D4" s="2" t="s">
        <v>26</v>
      </c>
      <c r="E4" s="2" t="s">
        <v>14</v>
      </c>
      <c r="F4" s="2" t="s">
        <v>27</v>
      </c>
      <c r="G4" s="2">
        <v>197</v>
      </c>
      <c r="H4" s="2">
        <v>1600</v>
      </c>
      <c r="I4" s="2">
        <v>315200</v>
      </c>
      <c r="J4" s="2">
        <v>0</v>
      </c>
      <c r="K4" s="2" t="s">
        <v>28</v>
      </c>
    </row>
    <row r="5" spans="1:11" x14ac:dyDescent="0.35">
      <c r="A5" s="4" t="s">
        <v>29</v>
      </c>
      <c r="B5" s="5">
        <v>45537</v>
      </c>
      <c r="C5" s="4" t="s">
        <v>30</v>
      </c>
      <c r="D5" s="4" t="s">
        <v>19</v>
      </c>
      <c r="E5" s="4" t="s">
        <v>31</v>
      </c>
      <c r="F5" s="4" t="s">
        <v>32</v>
      </c>
      <c r="G5" s="4">
        <v>16</v>
      </c>
      <c r="H5" s="4">
        <v>1400</v>
      </c>
      <c r="I5" s="4">
        <v>22400</v>
      </c>
      <c r="J5" s="4">
        <v>0</v>
      </c>
      <c r="K5" s="4" t="s">
        <v>33</v>
      </c>
    </row>
    <row r="6" spans="1:11" x14ac:dyDescent="0.35">
      <c r="A6" s="2" t="s">
        <v>34</v>
      </c>
      <c r="B6" s="3">
        <v>45576</v>
      </c>
      <c r="C6" s="2" t="s">
        <v>18</v>
      </c>
      <c r="D6" s="2" t="s">
        <v>35</v>
      </c>
      <c r="E6" s="2" t="s">
        <v>20</v>
      </c>
      <c r="F6" s="2" t="s">
        <v>36</v>
      </c>
      <c r="G6" s="2">
        <v>8</v>
      </c>
      <c r="H6" s="2">
        <v>900</v>
      </c>
      <c r="I6" s="2">
        <v>7200</v>
      </c>
      <c r="J6" s="2">
        <v>1</v>
      </c>
      <c r="K6" s="2" t="s">
        <v>37</v>
      </c>
    </row>
    <row r="7" spans="1:11" x14ac:dyDescent="0.35">
      <c r="A7" s="4" t="s">
        <v>38</v>
      </c>
      <c r="B7" s="4" t="s">
        <v>39</v>
      </c>
      <c r="C7" s="4" t="s">
        <v>40</v>
      </c>
      <c r="D7" s="4" t="s">
        <v>41</v>
      </c>
      <c r="E7" s="4" t="s">
        <v>20</v>
      </c>
      <c r="F7" s="4" t="s">
        <v>36</v>
      </c>
      <c r="G7" s="4">
        <v>124</v>
      </c>
      <c r="H7" s="4">
        <v>900</v>
      </c>
      <c r="I7" s="4">
        <v>111600</v>
      </c>
      <c r="J7" s="4">
        <v>1</v>
      </c>
      <c r="K7" s="4" t="s">
        <v>42</v>
      </c>
    </row>
    <row r="8" spans="1:11" x14ac:dyDescent="0.35">
      <c r="A8" s="2" t="s">
        <v>43</v>
      </c>
      <c r="B8" s="3">
        <v>45507</v>
      </c>
      <c r="C8" s="2" t="s">
        <v>44</v>
      </c>
      <c r="D8" s="2" t="s">
        <v>35</v>
      </c>
      <c r="E8" s="2" t="s">
        <v>31</v>
      </c>
      <c r="F8" s="2" t="s">
        <v>45</v>
      </c>
      <c r="G8" s="2">
        <v>10</v>
      </c>
      <c r="H8" s="2">
        <v>1200</v>
      </c>
      <c r="I8" s="2">
        <v>12000</v>
      </c>
      <c r="J8" s="2">
        <v>1</v>
      </c>
      <c r="K8" s="2" t="s">
        <v>46</v>
      </c>
    </row>
    <row r="9" spans="1:11" x14ac:dyDescent="0.35">
      <c r="A9" s="4" t="s">
        <v>47</v>
      </c>
      <c r="B9" s="4" t="s">
        <v>48</v>
      </c>
      <c r="C9" s="4" t="s">
        <v>18</v>
      </c>
      <c r="D9" s="4" t="s">
        <v>49</v>
      </c>
      <c r="E9" s="4" t="s">
        <v>20</v>
      </c>
      <c r="F9" s="4" t="s">
        <v>21</v>
      </c>
      <c r="G9" s="4">
        <v>145</v>
      </c>
      <c r="H9" s="4">
        <v>3500</v>
      </c>
      <c r="I9" s="4">
        <v>507500</v>
      </c>
      <c r="J9" s="4">
        <v>14</v>
      </c>
      <c r="K9" s="4" t="s">
        <v>37</v>
      </c>
    </row>
    <row r="10" spans="1:11" x14ac:dyDescent="0.35">
      <c r="A10" s="2" t="s">
        <v>50</v>
      </c>
      <c r="B10" s="3">
        <v>45621</v>
      </c>
      <c r="C10" s="2" t="s">
        <v>51</v>
      </c>
      <c r="D10" s="2" t="s">
        <v>41</v>
      </c>
      <c r="E10" s="2" t="s">
        <v>20</v>
      </c>
      <c r="F10" s="2" t="s">
        <v>52</v>
      </c>
      <c r="G10" s="2">
        <v>118</v>
      </c>
      <c r="H10" s="2">
        <v>450</v>
      </c>
      <c r="I10" s="2">
        <v>53100</v>
      </c>
      <c r="J10" s="2">
        <v>3</v>
      </c>
      <c r="K10" s="2" t="s">
        <v>42</v>
      </c>
    </row>
    <row r="11" spans="1:11" x14ac:dyDescent="0.35">
      <c r="A11" s="4" t="s">
        <v>53</v>
      </c>
      <c r="B11" s="5">
        <v>45476</v>
      </c>
      <c r="C11" s="4" t="s">
        <v>44</v>
      </c>
      <c r="D11" s="4" t="s">
        <v>54</v>
      </c>
      <c r="E11" s="4" t="s">
        <v>31</v>
      </c>
      <c r="F11" s="4" t="s">
        <v>55</v>
      </c>
      <c r="G11" s="4">
        <v>107</v>
      </c>
      <c r="H11" s="4">
        <v>1100</v>
      </c>
      <c r="I11" s="4">
        <v>117700</v>
      </c>
      <c r="J11" s="4">
        <v>1</v>
      </c>
      <c r="K11" s="4" t="s">
        <v>16</v>
      </c>
    </row>
    <row r="12" spans="1:11" x14ac:dyDescent="0.35">
      <c r="A12" s="2" t="s">
        <v>56</v>
      </c>
      <c r="B12" s="3">
        <v>45464</v>
      </c>
      <c r="C12" s="2" t="s">
        <v>57</v>
      </c>
      <c r="D12" s="2" t="s">
        <v>49</v>
      </c>
      <c r="E12" s="2" t="s">
        <v>31</v>
      </c>
      <c r="F12" s="2" t="s">
        <v>58</v>
      </c>
      <c r="G12" s="2">
        <v>173</v>
      </c>
      <c r="H12" s="2">
        <v>850</v>
      </c>
      <c r="I12" s="2">
        <v>147050</v>
      </c>
      <c r="J12" s="2">
        <v>0</v>
      </c>
      <c r="K12" s="2" t="s">
        <v>28</v>
      </c>
    </row>
    <row r="13" spans="1:11" x14ac:dyDescent="0.35">
      <c r="A13" s="4" t="s">
        <v>59</v>
      </c>
      <c r="B13" s="5">
        <v>45298</v>
      </c>
      <c r="C13" s="4" t="s">
        <v>60</v>
      </c>
      <c r="D13" s="4" t="s">
        <v>19</v>
      </c>
      <c r="E13" s="4" t="s">
        <v>14</v>
      </c>
      <c r="F13" s="4" t="s">
        <v>61</v>
      </c>
      <c r="G13" s="4">
        <v>193</v>
      </c>
      <c r="H13" s="4">
        <v>2200</v>
      </c>
      <c r="I13" s="4">
        <v>424600</v>
      </c>
      <c r="J13" s="4">
        <v>0</v>
      </c>
      <c r="K13" s="4" t="s">
        <v>62</v>
      </c>
    </row>
    <row r="14" spans="1:11" x14ac:dyDescent="0.35">
      <c r="A14" s="2" t="s">
        <v>63</v>
      </c>
      <c r="B14" s="3">
        <v>45377</v>
      </c>
      <c r="C14" s="2" t="s">
        <v>64</v>
      </c>
      <c r="D14" s="2" t="s">
        <v>65</v>
      </c>
      <c r="E14" s="2" t="s">
        <v>14</v>
      </c>
      <c r="F14" s="2" t="s">
        <v>15</v>
      </c>
      <c r="G14" s="2">
        <v>18</v>
      </c>
      <c r="H14" s="2" t="s">
        <v>66</v>
      </c>
      <c r="I14" s="2">
        <v>21600</v>
      </c>
      <c r="J14" s="2">
        <v>0</v>
      </c>
      <c r="K14" s="2" t="s">
        <v>16</v>
      </c>
    </row>
    <row r="15" spans="1:11" x14ac:dyDescent="0.35">
      <c r="A15" s="4" t="s">
        <v>67</v>
      </c>
      <c r="B15" s="4" t="s">
        <v>68</v>
      </c>
      <c r="C15" s="4" t="s">
        <v>69</v>
      </c>
      <c r="D15" s="4" t="s">
        <v>13</v>
      </c>
      <c r="E15" s="4" t="s">
        <v>14</v>
      </c>
      <c r="F15" s="4" t="s">
        <v>70</v>
      </c>
      <c r="G15" s="4">
        <v>106</v>
      </c>
      <c r="H15" s="4">
        <v>1800</v>
      </c>
      <c r="I15" s="4">
        <v>190800</v>
      </c>
      <c r="J15" s="4">
        <v>0</v>
      </c>
      <c r="K15" s="4" t="s">
        <v>42</v>
      </c>
    </row>
    <row r="16" spans="1:11" x14ac:dyDescent="0.35">
      <c r="A16" s="2" t="s">
        <v>71</v>
      </c>
      <c r="B16" s="3">
        <v>45360</v>
      </c>
      <c r="C16" s="2" t="s">
        <v>69</v>
      </c>
      <c r="D16" s="2" t="s">
        <v>65</v>
      </c>
      <c r="E16" s="2" t="s">
        <v>14</v>
      </c>
      <c r="F16" s="2" t="s">
        <v>72</v>
      </c>
      <c r="G16" s="2">
        <v>11</v>
      </c>
      <c r="H16" s="2">
        <v>400</v>
      </c>
      <c r="I16" s="2">
        <v>4400</v>
      </c>
      <c r="J16" s="2">
        <v>0</v>
      </c>
      <c r="K16" s="2" t="s">
        <v>46</v>
      </c>
    </row>
    <row r="17" spans="1:11" x14ac:dyDescent="0.35">
      <c r="A17" s="4" t="s">
        <v>73</v>
      </c>
      <c r="B17" s="5">
        <v>45389</v>
      </c>
      <c r="C17" s="4" t="s">
        <v>74</v>
      </c>
      <c r="D17" s="4" t="s">
        <v>19</v>
      </c>
      <c r="E17" s="4" t="s">
        <v>31</v>
      </c>
      <c r="F17" s="4" t="s">
        <v>55</v>
      </c>
      <c r="G17" s="4">
        <v>123</v>
      </c>
      <c r="H17" s="4">
        <v>1100</v>
      </c>
      <c r="I17" s="4">
        <v>135300</v>
      </c>
      <c r="J17" s="4">
        <v>8</v>
      </c>
      <c r="K17" s="4" t="s">
        <v>16</v>
      </c>
    </row>
    <row r="18" spans="1:11" x14ac:dyDescent="0.35">
      <c r="A18" s="2" t="s">
        <v>75</v>
      </c>
      <c r="B18" s="2" t="s">
        <v>76</v>
      </c>
      <c r="C18" s="2" t="s">
        <v>25</v>
      </c>
      <c r="D18" s="2" t="s">
        <v>65</v>
      </c>
      <c r="E18" s="2" t="s">
        <v>20</v>
      </c>
      <c r="F18" s="2" t="s">
        <v>36</v>
      </c>
      <c r="G18" s="2">
        <v>8</v>
      </c>
      <c r="H18" s="2">
        <v>900</v>
      </c>
      <c r="I18" s="2">
        <v>7200</v>
      </c>
      <c r="J18" s="2">
        <v>0</v>
      </c>
      <c r="K18" s="2" t="s">
        <v>28</v>
      </c>
    </row>
    <row r="19" spans="1:11" x14ac:dyDescent="0.35">
      <c r="A19" s="4" t="s">
        <v>77</v>
      </c>
      <c r="B19" s="4" t="s">
        <v>78</v>
      </c>
      <c r="C19" s="4" t="s">
        <v>25</v>
      </c>
      <c r="D19" s="4" t="s">
        <v>79</v>
      </c>
      <c r="E19" s="4" t="s">
        <v>14</v>
      </c>
      <c r="F19" s="4" t="s">
        <v>27</v>
      </c>
      <c r="G19" s="4">
        <v>-120</v>
      </c>
      <c r="H19" s="4">
        <v>1600</v>
      </c>
      <c r="I19" s="4">
        <v>192000</v>
      </c>
      <c r="J19" s="4">
        <v>0</v>
      </c>
      <c r="K19" s="4" t="s">
        <v>22</v>
      </c>
    </row>
    <row r="20" spans="1:11" x14ac:dyDescent="0.35">
      <c r="A20" s="2" t="s">
        <v>80</v>
      </c>
      <c r="B20" s="3">
        <v>45416</v>
      </c>
      <c r="C20" s="2" t="s">
        <v>30</v>
      </c>
      <c r="D20" s="2" t="s">
        <v>19</v>
      </c>
      <c r="E20" s="2" t="s">
        <v>31</v>
      </c>
      <c r="F20" s="2" t="s">
        <v>81</v>
      </c>
      <c r="G20" s="2">
        <v>73</v>
      </c>
      <c r="H20" s="2">
        <v>650</v>
      </c>
      <c r="I20" s="2"/>
      <c r="J20" s="2">
        <v>6</v>
      </c>
      <c r="K20" s="2" t="s">
        <v>42</v>
      </c>
    </row>
    <row r="21" spans="1:11" x14ac:dyDescent="0.35">
      <c r="A21" s="4" t="s">
        <v>82</v>
      </c>
      <c r="B21" s="5">
        <v>45536</v>
      </c>
      <c r="C21" s="4" t="s">
        <v>83</v>
      </c>
      <c r="D21" s="4" t="s">
        <v>79</v>
      </c>
      <c r="E21" s="4" t="s">
        <v>20</v>
      </c>
      <c r="F21" s="4" t="s">
        <v>52</v>
      </c>
      <c r="G21" s="4">
        <v>100</v>
      </c>
      <c r="H21" s="4">
        <v>450</v>
      </c>
      <c r="I21" s="4">
        <v>45000</v>
      </c>
      <c r="J21" s="4">
        <v>0</v>
      </c>
      <c r="K21" s="4"/>
    </row>
    <row r="22" spans="1:11" x14ac:dyDescent="0.35">
      <c r="A22" s="2" t="s">
        <v>84</v>
      </c>
      <c r="B22" s="3">
        <v>45602</v>
      </c>
      <c r="C22" s="2" t="s">
        <v>69</v>
      </c>
      <c r="D22" s="2" t="s">
        <v>13</v>
      </c>
      <c r="E22" s="2" t="s">
        <v>14</v>
      </c>
      <c r="F22" s="2" t="s">
        <v>15</v>
      </c>
      <c r="G22" s="2">
        <v>103</v>
      </c>
      <c r="H22" s="2">
        <v>1200</v>
      </c>
      <c r="I22" s="2">
        <v>123600</v>
      </c>
      <c r="J22" s="2">
        <v>1</v>
      </c>
      <c r="K22" s="2" t="s">
        <v>85</v>
      </c>
    </row>
    <row r="23" spans="1:11" x14ac:dyDescent="0.35">
      <c r="A23" s="4" t="s">
        <v>86</v>
      </c>
      <c r="B23" s="4" t="s">
        <v>87</v>
      </c>
      <c r="C23" s="4" t="s">
        <v>88</v>
      </c>
      <c r="D23" s="4" t="s">
        <v>65</v>
      </c>
      <c r="E23" s="4" t="s">
        <v>31</v>
      </c>
      <c r="F23" s="4" t="s">
        <v>89</v>
      </c>
      <c r="G23" s="4">
        <v>95</v>
      </c>
      <c r="H23" s="4">
        <v>900</v>
      </c>
      <c r="I23" s="4">
        <v>85500</v>
      </c>
      <c r="J23" s="4">
        <v>1</v>
      </c>
      <c r="K23" s="4" t="s">
        <v>33</v>
      </c>
    </row>
    <row r="24" spans="1:11" x14ac:dyDescent="0.35">
      <c r="A24" s="2" t="s">
        <v>90</v>
      </c>
      <c r="B24" s="3">
        <v>45393</v>
      </c>
      <c r="C24" s="2" t="s">
        <v>69</v>
      </c>
      <c r="D24" s="2" t="s">
        <v>13</v>
      </c>
      <c r="E24" s="2" t="s">
        <v>14</v>
      </c>
      <c r="F24" s="2" t="s">
        <v>15</v>
      </c>
      <c r="G24" s="2">
        <v>23</v>
      </c>
      <c r="H24" s="2">
        <v>1200</v>
      </c>
      <c r="I24" s="2">
        <v>27600</v>
      </c>
      <c r="J24" s="2">
        <v>1</v>
      </c>
      <c r="K24" s="2" t="s">
        <v>28</v>
      </c>
    </row>
    <row r="25" spans="1:11" x14ac:dyDescent="0.35">
      <c r="A25" s="4" t="s">
        <v>91</v>
      </c>
      <c r="B25" s="5">
        <v>45595</v>
      </c>
      <c r="C25" s="4" t="s">
        <v>92</v>
      </c>
      <c r="D25" s="4" t="s">
        <v>93</v>
      </c>
      <c r="E25" s="4" t="s">
        <v>14</v>
      </c>
      <c r="F25" s="4" t="s">
        <v>72</v>
      </c>
      <c r="G25" s="4">
        <v>149</v>
      </c>
      <c r="H25" s="4">
        <v>400</v>
      </c>
      <c r="I25" s="4">
        <v>59600</v>
      </c>
      <c r="J25" s="4">
        <v>6</v>
      </c>
      <c r="K25" s="4" t="s">
        <v>46</v>
      </c>
    </row>
    <row r="26" spans="1:11" x14ac:dyDescent="0.35">
      <c r="A26" s="2" t="s">
        <v>94</v>
      </c>
      <c r="B26" s="3">
        <v>45505</v>
      </c>
      <c r="C26" s="2" t="s">
        <v>88</v>
      </c>
      <c r="D26" s="2" t="s">
        <v>49</v>
      </c>
      <c r="E26" s="2" t="s">
        <v>31</v>
      </c>
      <c r="F26" s="2" t="s">
        <v>89</v>
      </c>
      <c r="G26" s="2">
        <v>150</v>
      </c>
      <c r="H26" s="2">
        <v>900</v>
      </c>
      <c r="I26" s="2">
        <v>135000</v>
      </c>
      <c r="J26" s="2">
        <v>8</v>
      </c>
      <c r="K26" s="2" t="s">
        <v>28</v>
      </c>
    </row>
    <row r="27" spans="1:11" x14ac:dyDescent="0.35">
      <c r="A27" s="4" t="s">
        <v>95</v>
      </c>
      <c r="B27" s="5">
        <v>45383</v>
      </c>
      <c r="C27" s="4" t="s">
        <v>96</v>
      </c>
      <c r="D27" s="4" t="s">
        <v>13</v>
      </c>
      <c r="E27" s="4" t="s">
        <v>20</v>
      </c>
      <c r="F27" s="4" t="s">
        <v>97</v>
      </c>
      <c r="G27" s="4">
        <v>51</v>
      </c>
      <c r="H27" s="4">
        <v>500</v>
      </c>
      <c r="I27" s="4">
        <v>25500</v>
      </c>
      <c r="J27" s="4">
        <v>1</v>
      </c>
      <c r="K27" s="4" t="s">
        <v>62</v>
      </c>
    </row>
    <row r="28" spans="1:11" x14ac:dyDescent="0.35">
      <c r="A28" s="2" t="s">
        <v>98</v>
      </c>
      <c r="B28" s="3">
        <v>45329</v>
      </c>
      <c r="C28" s="2" t="s">
        <v>69</v>
      </c>
      <c r="D28" s="2" t="s">
        <v>19</v>
      </c>
      <c r="E28" s="2" t="s">
        <v>14</v>
      </c>
      <c r="F28" s="2" t="s">
        <v>99</v>
      </c>
      <c r="G28" s="2">
        <v>20</v>
      </c>
      <c r="H28" s="2">
        <v>1500</v>
      </c>
      <c r="I28" s="2">
        <v>30000</v>
      </c>
      <c r="J28" s="2">
        <v>0</v>
      </c>
      <c r="K28" s="2" t="s">
        <v>62</v>
      </c>
    </row>
    <row r="29" spans="1:11" x14ac:dyDescent="0.35">
      <c r="A29" s="4" t="s">
        <v>100</v>
      </c>
      <c r="B29" s="4" t="s">
        <v>101</v>
      </c>
      <c r="C29" s="4" t="s">
        <v>51</v>
      </c>
      <c r="D29" s="4" t="s">
        <v>93</v>
      </c>
      <c r="E29" s="4" t="s">
        <v>31</v>
      </c>
      <c r="F29" s="4" t="s">
        <v>55</v>
      </c>
      <c r="G29" s="4">
        <v>128</v>
      </c>
      <c r="H29" s="4">
        <v>1100</v>
      </c>
      <c r="I29" s="4">
        <v>140800</v>
      </c>
      <c r="J29" s="4">
        <v>3</v>
      </c>
      <c r="K29" s="4"/>
    </row>
    <row r="30" spans="1:11" x14ac:dyDescent="0.35">
      <c r="A30" s="2" t="s">
        <v>102</v>
      </c>
      <c r="B30" s="3">
        <v>45344</v>
      </c>
      <c r="C30" s="2" t="s">
        <v>69</v>
      </c>
      <c r="D30" s="2" t="s">
        <v>93</v>
      </c>
      <c r="E30" s="2" t="s">
        <v>20</v>
      </c>
      <c r="F30" s="2" t="s">
        <v>21</v>
      </c>
      <c r="G30" s="2">
        <v>28</v>
      </c>
      <c r="H30" s="2">
        <v>3500</v>
      </c>
      <c r="I30" s="2">
        <v>98000</v>
      </c>
      <c r="J30" s="2">
        <v>2</v>
      </c>
      <c r="K30" s="2" t="s">
        <v>62</v>
      </c>
    </row>
    <row r="31" spans="1:11" x14ac:dyDescent="0.35">
      <c r="A31" s="4" t="s">
        <v>103</v>
      </c>
      <c r="B31" s="4" t="s">
        <v>104</v>
      </c>
      <c r="C31" s="4" t="s">
        <v>92</v>
      </c>
      <c r="D31" s="4" t="s">
        <v>19</v>
      </c>
      <c r="E31" s="4" t="s">
        <v>31</v>
      </c>
      <c r="F31" s="4" t="s">
        <v>81</v>
      </c>
      <c r="G31" s="4">
        <v>114</v>
      </c>
      <c r="H31" s="4">
        <v>650</v>
      </c>
      <c r="I31" s="4">
        <v>74100</v>
      </c>
      <c r="J31" s="4">
        <v>10</v>
      </c>
      <c r="K31" s="4" t="s">
        <v>22</v>
      </c>
    </row>
    <row r="32" spans="1:11" x14ac:dyDescent="0.35">
      <c r="A32" s="2" t="s">
        <v>105</v>
      </c>
      <c r="B32" s="3">
        <v>45358</v>
      </c>
      <c r="C32" s="2" t="s">
        <v>106</v>
      </c>
      <c r="D32" s="2" t="s">
        <v>19</v>
      </c>
      <c r="E32" s="2"/>
      <c r="F32" s="2" t="s">
        <v>70</v>
      </c>
      <c r="G32" s="2">
        <v>103</v>
      </c>
      <c r="H32" s="2" t="s">
        <v>107</v>
      </c>
      <c r="I32" s="2">
        <v>185400</v>
      </c>
      <c r="J32" s="2">
        <v>0</v>
      </c>
      <c r="K32" s="2"/>
    </row>
    <row r="33" spans="1:11" x14ac:dyDescent="0.35">
      <c r="A33" s="4" t="s">
        <v>108</v>
      </c>
      <c r="B33" s="5">
        <v>45321</v>
      </c>
      <c r="C33" s="4" t="s">
        <v>109</v>
      </c>
      <c r="D33" s="4" t="s">
        <v>49</v>
      </c>
      <c r="E33" s="4" t="s">
        <v>20</v>
      </c>
      <c r="F33" s="4" t="s">
        <v>52</v>
      </c>
      <c r="G33" s="4">
        <v>178</v>
      </c>
      <c r="H33" s="4">
        <v>450</v>
      </c>
      <c r="I33" s="4">
        <v>80100</v>
      </c>
      <c r="J33" s="4">
        <v>14</v>
      </c>
      <c r="K33" s="4" t="s">
        <v>33</v>
      </c>
    </row>
    <row r="34" spans="1:11" x14ac:dyDescent="0.35">
      <c r="A34" s="2" t="s">
        <v>110</v>
      </c>
      <c r="B34" s="3">
        <v>45514</v>
      </c>
      <c r="C34" s="2" t="s">
        <v>83</v>
      </c>
      <c r="D34" s="2" t="s">
        <v>41</v>
      </c>
      <c r="E34" s="2" t="s">
        <v>31</v>
      </c>
      <c r="F34" s="2" t="s">
        <v>55</v>
      </c>
      <c r="G34" s="2">
        <v>175</v>
      </c>
      <c r="H34" s="2">
        <v>1100</v>
      </c>
      <c r="I34" s="2">
        <v>192500</v>
      </c>
      <c r="J34" s="2">
        <v>0</v>
      </c>
      <c r="K34" s="2" t="s">
        <v>37</v>
      </c>
    </row>
    <row r="35" spans="1:11" x14ac:dyDescent="0.35">
      <c r="A35" s="4" t="s">
        <v>111</v>
      </c>
      <c r="B35" s="5">
        <v>45622</v>
      </c>
      <c r="C35" s="4" t="s">
        <v>112</v>
      </c>
      <c r="D35" s="4" t="s">
        <v>65</v>
      </c>
      <c r="E35" s="4" t="s">
        <v>31</v>
      </c>
      <c r="F35" s="4" t="s">
        <v>81</v>
      </c>
      <c r="G35" s="4">
        <v>105</v>
      </c>
      <c r="H35" s="4">
        <v>650</v>
      </c>
      <c r="I35" s="4">
        <v>68250</v>
      </c>
      <c r="J35" s="4">
        <v>3</v>
      </c>
      <c r="K35" s="4" t="s">
        <v>28</v>
      </c>
    </row>
    <row r="36" spans="1:11" x14ac:dyDescent="0.35">
      <c r="A36" s="2" t="s">
        <v>113</v>
      </c>
      <c r="B36" s="2" t="s">
        <v>114</v>
      </c>
      <c r="C36" s="2" t="s">
        <v>69</v>
      </c>
      <c r="D36" s="2" t="s">
        <v>65</v>
      </c>
      <c r="E36" s="2" t="s">
        <v>14</v>
      </c>
      <c r="F36" s="2" t="s">
        <v>27</v>
      </c>
      <c r="G36" s="2">
        <v>27</v>
      </c>
      <c r="H36" s="2">
        <v>1600</v>
      </c>
      <c r="I36" s="2">
        <v>43200</v>
      </c>
      <c r="J36" s="2">
        <v>2</v>
      </c>
      <c r="K36" s="2" t="s">
        <v>28</v>
      </c>
    </row>
    <row r="37" spans="1:11" x14ac:dyDescent="0.35">
      <c r="A37" s="4" t="s">
        <v>115</v>
      </c>
      <c r="B37" s="5">
        <v>45554</v>
      </c>
      <c r="C37" s="4" t="s">
        <v>106</v>
      </c>
      <c r="D37" s="4"/>
      <c r="E37" s="4" t="s">
        <v>31</v>
      </c>
      <c r="F37" s="4" t="s">
        <v>58</v>
      </c>
      <c r="G37" s="4">
        <v>94</v>
      </c>
      <c r="H37" s="4">
        <v>850</v>
      </c>
      <c r="I37" s="4">
        <v>79900</v>
      </c>
      <c r="J37" s="4">
        <v>6</v>
      </c>
      <c r="K37" s="4" t="s">
        <v>16</v>
      </c>
    </row>
    <row r="38" spans="1:11" x14ac:dyDescent="0.35">
      <c r="A38" s="2" t="s">
        <v>116</v>
      </c>
      <c r="B38" s="2" t="s">
        <v>117</v>
      </c>
      <c r="C38" s="2" t="s">
        <v>118</v>
      </c>
      <c r="D38" s="2" t="s">
        <v>65</v>
      </c>
      <c r="E38" s="2" t="s">
        <v>31</v>
      </c>
      <c r="F38" s="2" t="s">
        <v>55</v>
      </c>
      <c r="G38" s="2">
        <v>33</v>
      </c>
      <c r="H38" s="2">
        <v>1100</v>
      </c>
      <c r="I38" s="2">
        <v>36300</v>
      </c>
      <c r="J38" s="2">
        <v>0</v>
      </c>
      <c r="K38" s="2" t="s">
        <v>42</v>
      </c>
    </row>
    <row r="39" spans="1:11" x14ac:dyDescent="0.35">
      <c r="A39" s="4" t="s">
        <v>119</v>
      </c>
      <c r="B39" s="5">
        <v>45353</v>
      </c>
      <c r="C39" s="4" t="s">
        <v>25</v>
      </c>
      <c r="D39" s="4" t="s">
        <v>49</v>
      </c>
      <c r="E39" s="4" t="s">
        <v>20</v>
      </c>
      <c r="F39" s="4" t="s">
        <v>21</v>
      </c>
      <c r="G39" s="4">
        <v>8</v>
      </c>
      <c r="H39" s="4">
        <v>3500</v>
      </c>
      <c r="I39" s="4">
        <v>28000</v>
      </c>
      <c r="J39" s="4">
        <v>1</v>
      </c>
      <c r="K39" s="4" t="s">
        <v>37</v>
      </c>
    </row>
    <row r="40" spans="1:11" x14ac:dyDescent="0.35">
      <c r="A40" s="2" t="s">
        <v>120</v>
      </c>
      <c r="B40" s="3">
        <v>45429</v>
      </c>
      <c r="C40" s="2" t="s">
        <v>74</v>
      </c>
      <c r="D40" s="2" t="s">
        <v>65</v>
      </c>
      <c r="E40" s="2" t="s">
        <v>31</v>
      </c>
      <c r="F40" s="2" t="s">
        <v>121</v>
      </c>
      <c r="G40" s="2">
        <v>143</v>
      </c>
      <c r="H40" s="2">
        <v>200</v>
      </c>
      <c r="I40" s="2">
        <v>28600</v>
      </c>
      <c r="J40" s="2">
        <v>0</v>
      </c>
      <c r="K40" s="2" t="s">
        <v>122</v>
      </c>
    </row>
    <row r="41" spans="1:11" x14ac:dyDescent="0.35">
      <c r="A41" s="4" t="s">
        <v>123</v>
      </c>
      <c r="B41" s="5">
        <v>45365</v>
      </c>
      <c r="C41" s="4" t="s">
        <v>44</v>
      </c>
      <c r="D41" s="4" t="s">
        <v>41</v>
      </c>
      <c r="E41" s="4" t="s">
        <v>14</v>
      </c>
      <c r="F41" s="4" t="s">
        <v>61</v>
      </c>
      <c r="G41" s="4">
        <v>151</v>
      </c>
      <c r="H41" s="4">
        <v>2200</v>
      </c>
      <c r="I41" s="4"/>
      <c r="J41" s="4">
        <v>2</v>
      </c>
      <c r="K41" s="4" t="s">
        <v>85</v>
      </c>
    </row>
    <row r="42" spans="1:11" x14ac:dyDescent="0.35">
      <c r="A42" s="2" t="s">
        <v>124</v>
      </c>
      <c r="B42" s="3">
        <v>45421</v>
      </c>
      <c r="C42" s="2" t="s">
        <v>125</v>
      </c>
      <c r="D42" s="2" t="s">
        <v>26</v>
      </c>
      <c r="E42" s="2" t="s">
        <v>31</v>
      </c>
      <c r="F42" s="2" t="s">
        <v>45</v>
      </c>
      <c r="G42" s="2">
        <v>159</v>
      </c>
      <c r="H42" s="2">
        <v>1200</v>
      </c>
      <c r="I42" s="2">
        <v>190800</v>
      </c>
      <c r="J42" s="2">
        <v>2</v>
      </c>
      <c r="K42" s="2" t="s">
        <v>37</v>
      </c>
    </row>
    <row r="43" spans="1:11" x14ac:dyDescent="0.35">
      <c r="A43" s="4" t="s">
        <v>126</v>
      </c>
      <c r="B43" s="5">
        <v>45564</v>
      </c>
      <c r="C43" s="4" t="s">
        <v>96</v>
      </c>
      <c r="D43" s="4" t="s">
        <v>65</v>
      </c>
      <c r="E43" s="4" t="s">
        <v>20</v>
      </c>
      <c r="F43" s="4" t="s">
        <v>52</v>
      </c>
      <c r="G43" s="4">
        <v>92</v>
      </c>
      <c r="H43" s="4" t="s">
        <v>127</v>
      </c>
      <c r="I43" s="4">
        <v>41400</v>
      </c>
      <c r="J43" s="4">
        <v>6</v>
      </c>
      <c r="K43" s="4" t="s">
        <v>22</v>
      </c>
    </row>
    <row r="44" spans="1:11" x14ac:dyDescent="0.35">
      <c r="A44" s="2" t="s">
        <v>128</v>
      </c>
      <c r="B44" s="2" t="s">
        <v>129</v>
      </c>
      <c r="C44" s="2" t="s">
        <v>88</v>
      </c>
      <c r="D44" s="2" t="s">
        <v>130</v>
      </c>
      <c r="E44" s="2" t="s">
        <v>20</v>
      </c>
      <c r="F44" s="2" t="s">
        <v>52</v>
      </c>
      <c r="G44" s="2">
        <v>24</v>
      </c>
      <c r="H44" s="2">
        <v>450</v>
      </c>
      <c r="I44" s="2">
        <v>10800</v>
      </c>
      <c r="J44" s="2">
        <v>2</v>
      </c>
      <c r="K44" s="2" t="s">
        <v>46</v>
      </c>
    </row>
    <row r="45" spans="1:11" x14ac:dyDescent="0.35">
      <c r="A45" s="4" t="s">
        <v>131</v>
      </c>
      <c r="B45" s="5">
        <v>45478</v>
      </c>
      <c r="C45" s="4" t="s">
        <v>118</v>
      </c>
      <c r="D45" s="4" t="s">
        <v>132</v>
      </c>
      <c r="E45" s="4" t="s">
        <v>20</v>
      </c>
      <c r="F45" s="4" t="s">
        <v>133</v>
      </c>
      <c r="G45" s="4">
        <v>65</v>
      </c>
      <c r="H45" s="4">
        <v>1200</v>
      </c>
      <c r="I45" s="4">
        <v>78000</v>
      </c>
      <c r="J45" s="4">
        <v>6</v>
      </c>
      <c r="K45" s="4" t="s">
        <v>46</v>
      </c>
    </row>
    <row r="46" spans="1:11" x14ac:dyDescent="0.35">
      <c r="A46" s="2" t="s">
        <v>134</v>
      </c>
      <c r="B46" s="3">
        <v>45341</v>
      </c>
      <c r="C46" s="2" t="s">
        <v>51</v>
      </c>
      <c r="D46" s="2" t="s">
        <v>54</v>
      </c>
      <c r="E46" s="2" t="s">
        <v>14</v>
      </c>
      <c r="F46" s="2" t="s">
        <v>70</v>
      </c>
      <c r="G46" s="2">
        <v>99</v>
      </c>
      <c r="H46" s="2">
        <v>1800</v>
      </c>
      <c r="I46" s="2">
        <v>178200</v>
      </c>
      <c r="J46" s="2">
        <v>2</v>
      </c>
      <c r="K46" s="2" t="s">
        <v>122</v>
      </c>
    </row>
    <row r="47" spans="1:11" x14ac:dyDescent="0.35">
      <c r="A47" s="4" t="s">
        <v>135</v>
      </c>
      <c r="B47" s="5">
        <v>45575</v>
      </c>
      <c r="C47" s="4" t="s">
        <v>109</v>
      </c>
      <c r="D47" s="4" t="s">
        <v>13</v>
      </c>
      <c r="E47" s="4" t="s">
        <v>14</v>
      </c>
      <c r="F47" s="4" t="s">
        <v>72</v>
      </c>
      <c r="G47" s="4">
        <v>104</v>
      </c>
      <c r="H47" s="4">
        <v>400</v>
      </c>
      <c r="I47" s="4">
        <v>41600</v>
      </c>
      <c r="J47" s="4">
        <v>0</v>
      </c>
      <c r="K47" s="4" t="s">
        <v>28</v>
      </c>
    </row>
    <row r="48" spans="1:11" x14ac:dyDescent="0.35">
      <c r="A48" s="2" t="s">
        <v>136</v>
      </c>
      <c r="B48" s="3">
        <v>45612</v>
      </c>
      <c r="C48" s="2" t="s">
        <v>40</v>
      </c>
      <c r="D48" s="2" t="s">
        <v>26</v>
      </c>
      <c r="E48" s="2" t="s">
        <v>31</v>
      </c>
      <c r="F48" s="2" t="s">
        <v>45</v>
      </c>
      <c r="G48" s="2">
        <v>43</v>
      </c>
      <c r="H48" s="2">
        <v>1200</v>
      </c>
      <c r="I48" s="2">
        <v>51600</v>
      </c>
      <c r="J48" s="2">
        <v>0</v>
      </c>
      <c r="K48" s="2" t="s">
        <v>33</v>
      </c>
    </row>
    <row r="49" spans="1:11" x14ac:dyDescent="0.35">
      <c r="A49" s="4" t="s">
        <v>137</v>
      </c>
      <c r="B49" s="4" t="s">
        <v>138</v>
      </c>
      <c r="C49" s="4" t="s">
        <v>88</v>
      </c>
      <c r="D49" s="4" t="s">
        <v>54</v>
      </c>
      <c r="E49" s="4" t="s">
        <v>31</v>
      </c>
      <c r="F49" s="4" t="s">
        <v>89</v>
      </c>
      <c r="G49" s="4">
        <v>25</v>
      </c>
      <c r="H49" s="4">
        <v>900</v>
      </c>
      <c r="I49" s="4">
        <v>22500</v>
      </c>
      <c r="J49" s="4">
        <v>2</v>
      </c>
      <c r="K49" s="4" t="s">
        <v>42</v>
      </c>
    </row>
    <row r="50" spans="1:11" x14ac:dyDescent="0.35">
      <c r="A50" s="2" t="s">
        <v>139</v>
      </c>
      <c r="B50" s="3">
        <v>45571</v>
      </c>
      <c r="C50" s="2" t="s">
        <v>74</v>
      </c>
      <c r="D50" s="2" t="s">
        <v>130</v>
      </c>
      <c r="E50" s="2" t="s">
        <v>20</v>
      </c>
      <c r="F50" s="2" t="s">
        <v>52</v>
      </c>
      <c r="G50" s="2">
        <v>-170</v>
      </c>
      <c r="H50" s="2">
        <v>450</v>
      </c>
      <c r="I50" s="2">
        <v>76500</v>
      </c>
      <c r="J50" s="2">
        <v>3</v>
      </c>
      <c r="K50" s="2" t="s">
        <v>33</v>
      </c>
    </row>
    <row r="51" spans="1:11" x14ac:dyDescent="0.35">
      <c r="A51" s="4" t="s">
        <v>140</v>
      </c>
      <c r="B51" s="4" t="s">
        <v>141</v>
      </c>
      <c r="C51" s="4" t="s">
        <v>25</v>
      </c>
      <c r="D51" s="4" t="s">
        <v>142</v>
      </c>
      <c r="E51" s="4" t="s">
        <v>20</v>
      </c>
      <c r="F51" s="4" t="s">
        <v>133</v>
      </c>
      <c r="G51" s="4">
        <v>72</v>
      </c>
      <c r="H51" s="4">
        <v>1200</v>
      </c>
      <c r="I51" s="4">
        <v>86400</v>
      </c>
      <c r="J51" s="4">
        <v>6</v>
      </c>
      <c r="K51" s="4" t="s">
        <v>16</v>
      </c>
    </row>
    <row r="52" spans="1:11" x14ac:dyDescent="0.35">
      <c r="A52" s="2" t="s">
        <v>143</v>
      </c>
      <c r="B52" s="3">
        <v>45582</v>
      </c>
      <c r="C52" s="2" t="s">
        <v>74</v>
      </c>
      <c r="D52" s="2" t="s">
        <v>79</v>
      </c>
      <c r="E52" s="2" t="s">
        <v>14</v>
      </c>
      <c r="F52" s="2" t="s">
        <v>99</v>
      </c>
      <c r="G52" s="2">
        <v>118</v>
      </c>
      <c r="H52" s="2">
        <v>1500</v>
      </c>
      <c r="I52" s="2">
        <v>177000</v>
      </c>
      <c r="J52" s="2">
        <v>10</v>
      </c>
      <c r="K52" s="2" t="s">
        <v>42</v>
      </c>
    </row>
    <row r="53" spans="1:11" x14ac:dyDescent="0.35">
      <c r="A53" s="4" t="s">
        <v>144</v>
      </c>
      <c r="B53" s="4" t="s">
        <v>145</v>
      </c>
      <c r="C53" s="4" t="s">
        <v>109</v>
      </c>
      <c r="D53" s="4" t="s">
        <v>19</v>
      </c>
      <c r="E53" s="4" t="s">
        <v>20</v>
      </c>
      <c r="F53" s="4" t="s">
        <v>133</v>
      </c>
      <c r="G53" s="4">
        <v>24</v>
      </c>
      <c r="H53" s="4">
        <v>1200</v>
      </c>
      <c r="I53" s="4">
        <v>28800</v>
      </c>
      <c r="J53" s="4">
        <v>1</v>
      </c>
      <c r="K53" s="4" t="s">
        <v>46</v>
      </c>
    </row>
    <row r="54" spans="1:11" x14ac:dyDescent="0.35">
      <c r="A54" s="2" t="s">
        <v>146</v>
      </c>
      <c r="B54" s="3">
        <v>45587</v>
      </c>
      <c r="C54" s="2" t="s">
        <v>88</v>
      </c>
      <c r="D54" s="2" t="s">
        <v>41</v>
      </c>
      <c r="E54" s="2" t="s">
        <v>14</v>
      </c>
      <c r="F54" s="2" t="s">
        <v>15</v>
      </c>
      <c r="G54" s="2">
        <v>168</v>
      </c>
      <c r="H54" s="2" t="s">
        <v>66</v>
      </c>
      <c r="I54" s="2">
        <v>201600</v>
      </c>
      <c r="J54" s="2">
        <v>9</v>
      </c>
      <c r="K54" s="2" t="s">
        <v>28</v>
      </c>
    </row>
    <row r="55" spans="1:11" x14ac:dyDescent="0.35">
      <c r="A55" s="4" t="s">
        <v>147</v>
      </c>
      <c r="B55" s="5">
        <v>45573</v>
      </c>
      <c r="C55" s="4" t="s">
        <v>25</v>
      </c>
      <c r="D55" s="4" t="s">
        <v>35</v>
      </c>
      <c r="E55" s="4" t="s">
        <v>14</v>
      </c>
      <c r="F55" s="4" t="s">
        <v>99</v>
      </c>
      <c r="G55" s="4">
        <v>64</v>
      </c>
      <c r="H55" s="4">
        <v>1500</v>
      </c>
      <c r="I55" s="4">
        <v>96000</v>
      </c>
      <c r="J55" s="4">
        <v>6</v>
      </c>
      <c r="K55" s="4" t="s">
        <v>37</v>
      </c>
    </row>
    <row r="56" spans="1:11" x14ac:dyDescent="0.35">
      <c r="A56" s="2" t="s">
        <v>148</v>
      </c>
      <c r="B56" s="2" t="s">
        <v>149</v>
      </c>
      <c r="C56" s="2" t="s">
        <v>18</v>
      </c>
      <c r="D56" s="2" t="s">
        <v>54</v>
      </c>
      <c r="E56" s="2" t="s">
        <v>31</v>
      </c>
      <c r="F56" s="2" t="s">
        <v>121</v>
      </c>
      <c r="G56" s="2">
        <v>170</v>
      </c>
      <c r="H56" s="2">
        <v>200</v>
      </c>
      <c r="I56" s="2">
        <v>34000</v>
      </c>
      <c r="J56" s="2">
        <v>4</v>
      </c>
      <c r="K56" s="2" t="s">
        <v>46</v>
      </c>
    </row>
    <row r="57" spans="1:11" x14ac:dyDescent="0.35">
      <c r="A57" s="4" t="s">
        <v>150</v>
      </c>
      <c r="B57" s="5">
        <v>45479</v>
      </c>
      <c r="C57" s="4" t="s">
        <v>106</v>
      </c>
      <c r="D57" s="4" t="s">
        <v>13</v>
      </c>
      <c r="E57" s="4" t="s">
        <v>14</v>
      </c>
      <c r="F57" s="4" t="s">
        <v>72</v>
      </c>
      <c r="G57" s="4">
        <v>197</v>
      </c>
      <c r="H57" s="4">
        <v>400</v>
      </c>
      <c r="I57" s="4">
        <v>78800</v>
      </c>
      <c r="J57" s="4">
        <v>0</v>
      </c>
      <c r="K57" s="4" t="s">
        <v>37</v>
      </c>
    </row>
    <row r="58" spans="1:11" x14ac:dyDescent="0.35">
      <c r="A58" s="2" t="s">
        <v>151</v>
      </c>
      <c r="B58" s="2" t="s">
        <v>152</v>
      </c>
      <c r="C58" s="2" t="s">
        <v>44</v>
      </c>
      <c r="D58" s="2" t="s">
        <v>65</v>
      </c>
      <c r="E58" s="2" t="s">
        <v>20</v>
      </c>
      <c r="F58" s="2" t="s">
        <v>153</v>
      </c>
      <c r="G58" s="2">
        <v>197</v>
      </c>
      <c r="H58" s="2">
        <v>2800</v>
      </c>
      <c r="I58" s="2">
        <v>551600</v>
      </c>
      <c r="J58" s="2">
        <v>14</v>
      </c>
      <c r="K58" s="2" t="s">
        <v>33</v>
      </c>
    </row>
    <row r="59" spans="1:11" x14ac:dyDescent="0.35">
      <c r="A59" s="4" t="s">
        <v>154</v>
      </c>
      <c r="B59" s="4" t="s">
        <v>155</v>
      </c>
      <c r="C59" s="4" t="s">
        <v>156</v>
      </c>
      <c r="D59" s="4" t="s">
        <v>49</v>
      </c>
      <c r="E59" s="4" t="s">
        <v>14</v>
      </c>
      <c r="F59" s="4" t="s">
        <v>99</v>
      </c>
      <c r="G59" s="4">
        <v>87</v>
      </c>
      <c r="H59" s="4">
        <v>1500</v>
      </c>
      <c r="I59" s="4">
        <v>130500</v>
      </c>
      <c r="J59" s="4">
        <v>4</v>
      </c>
      <c r="K59" s="4" t="s">
        <v>122</v>
      </c>
    </row>
    <row r="60" spans="1:11" x14ac:dyDescent="0.35">
      <c r="A60" s="2" t="s">
        <v>157</v>
      </c>
      <c r="B60" s="3">
        <v>45629</v>
      </c>
      <c r="C60" s="2" t="s">
        <v>74</v>
      </c>
      <c r="D60" s="2" t="s">
        <v>65</v>
      </c>
      <c r="E60" s="2" t="s">
        <v>20</v>
      </c>
      <c r="F60" s="2" t="s">
        <v>52</v>
      </c>
      <c r="G60" s="2">
        <v>15</v>
      </c>
      <c r="H60" s="2">
        <v>450</v>
      </c>
      <c r="I60" s="2">
        <v>6750</v>
      </c>
      <c r="J60" s="2">
        <v>0</v>
      </c>
      <c r="K60" s="2" t="s">
        <v>42</v>
      </c>
    </row>
    <row r="61" spans="1:11" x14ac:dyDescent="0.35">
      <c r="A61" s="4" t="s">
        <v>158</v>
      </c>
      <c r="B61" s="5">
        <v>45650</v>
      </c>
      <c r="C61" s="4" t="s">
        <v>109</v>
      </c>
      <c r="D61" s="4" t="s">
        <v>35</v>
      </c>
      <c r="E61" s="4" t="s">
        <v>31</v>
      </c>
      <c r="F61" s="4" t="s">
        <v>159</v>
      </c>
      <c r="G61" s="4">
        <v>160</v>
      </c>
      <c r="H61" s="4">
        <v>1800</v>
      </c>
      <c r="I61" s="4">
        <v>288000</v>
      </c>
      <c r="J61" s="4">
        <v>7</v>
      </c>
      <c r="K61" s="4" t="s">
        <v>46</v>
      </c>
    </row>
    <row r="62" spans="1:11" x14ac:dyDescent="0.35">
      <c r="A62" s="2" t="s">
        <v>160</v>
      </c>
      <c r="B62" s="2" t="s">
        <v>161</v>
      </c>
      <c r="C62" s="2" t="s">
        <v>25</v>
      </c>
      <c r="D62" s="2" t="s">
        <v>26</v>
      </c>
      <c r="E62" s="2" t="s">
        <v>31</v>
      </c>
      <c r="F62" s="2" t="s">
        <v>159</v>
      </c>
      <c r="G62" s="2">
        <v>142</v>
      </c>
      <c r="H62" s="2">
        <v>1800</v>
      </c>
      <c r="I62" s="2">
        <v>255600</v>
      </c>
      <c r="J62" s="2">
        <v>0</v>
      </c>
      <c r="K62" s="2" t="s">
        <v>62</v>
      </c>
    </row>
    <row r="63" spans="1:11" x14ac:dyDescent="0.35">
      <c r="A63" s="4" t="s">
        <v>162</v>
      </c>
      <c r="B63" s="5">
        <v>45483</v>
      </c>
      <c r="C63" s="4" t="s">
        <v>92</v>
      </c>
      <c r="D63" s="4" t="s">
        <v>79</v>
      </c>
      <c r="E63" s="4" t="s">
        <v>14</v>
      </c>
      <c r="F63" s="4" t="s">
        <v>27</v>
      </c>
      <c r="G63" s="4">
        <v>80</v>
      </c>
      <c r="H63" s="4">
        <v>1600</v>
      </c>
      <c r="I63" s="4">
        <v>128000</v>
      </c>
      <c r="J63" s="4">
        <v>2</v>
      </c>
      <c r="K63" s="4" t="s">
        <v>85</v>
      </c>
    </row>
    <row r="64" spans="1:11" x14ac:dyDescent="0.35">
      <c r="A64" s="2" t="s">
        <v>163</v>
      </c>
      <c r="B64" s="3">
        <v>45477</v>
      </c>
      <c r="C64" s="2" t="s">
        <v>74</v>
      </c>
      <c r="D64" s="2" t="s">
        <v>93</v>
      </c>
      <c r="E64" s="2" t="s">
        <v>14</v>
      </c>
      <c r="F64" s="2" t="s">
        <v>27</v>
      </c>
      <c r="G64" s="2">
        <v>198</v>
      </c>
      <c r="H64" s="2">
        <v>1600</v>
      </c>
      <c r="I64" s="2">
        <v>316800</v>
      </c>
      <c r="J64" s="2">
        <v>13</v>
      </c>
      <c r="K64" s="2" t="s">
        <v>46</v>
      </c>
    </row>
    <row r="65" spans="1:11" x14ac:dyDescent="0.35">
      <c r="A65" s="4" t="s">
        <v>164</v>
      </c>
      <c r="B65" s="5">
        <v>45343</v>
      </c>
      <c r="C65" s="4" t="s">
        <v>165</v>
      </c>
      <c r="D65" s="4" t="s">
        <v>41</v>
      </c>
      <c r="E65" s="4" t="s">
        <v>20</v>
      </c>
      <c r="F65" s="4" t="s">
        <v>36</v>
      </c>
      <c r="G65" s="4">
        <v>94</v>
      </c>
      <c r="H65" s="4">
        <v>900</v>
      </c>
      <c r="I65" s="4">
        <v>84600</v>
      </c>
      <c r="J65" s="4">
        <v>0</v>
      </c>
      <c r="K65" s="4" t="s">
        <v>16</v>
      </c>
    </row>
    <row r="66" spans="1:11" x14ac:dyDescent="0.35">
      <c r="A66" s="2" t="s">
        <v>166</v>
      </c>
      <c r="B66" s="3">
        <v>45443</v>
      </c>
      <c r="C66" s="2" t="s">
        <v>88</v>
      </c>
      <c r="D66" s="2" t="s">
        <v>54</v>
      </c>
      <c r="E66" s="2" t="s">
        <v>20</v>
      </c>
      <c r="F66" s="2" t="s">
        <v>52</v>
      </c>
      <c r="G66" s="2">
        <v>108</v>
      </c>
      <c r="H66" s="2">
        <v>450</v>
      </c>
      <c r="I66" s="2"/>
      <c r="J66" s="2">
        <v>2</v>
      </c>
      <c r="K66" s="2"/>
    </row>
    <row r="67" spans="1:11" x14ac:dyDescent="0.35">
      <c r="A67" s="4" t="s">
        <v>167</v>
      </c>
      <c r="B67" s="5">
        <v>45351</v>
      </c>
      <c r="C67" s="4" t="s">
        <v>25</v>
      </c>
      <c r="D67" s="4" t="s">
        <v>19</v>
      </c>
      <c r="E67" s="4"/>
      <c r="F67" s="4" t="s">
        <v>99</v>
      </c>
      <c r="G67" s="4">
        <v>126</v>
      </c>
      <c r="H67" s="4">
        <v>1500</v>
      </c>
      <c r="I67" s="4">
        <v>189000</v>
      </c>
      <c r="J67" s="4">
        <v>11</v>
      </c>
      <c r="K67" s="4" t="s">
        <v>122</v>
      </c>
    </row>
    <row r="68" spans="1:11" x14ac:dyDescent="0.35">
      <c r="A68" s="2" t="s">
        <v>168</v>
      </c>
      <c r="B68" s="2" t="s">
        <v>169</v>
      </c>
      <c r="C68" s="2" t="s">
        <v>118</v>
      </c>
      <c r="D68" s="2" t="s">
        <v>54</v>
      </c>
      <c r="E68" s="2" t="s">
        <v>14</v>
      </c>
      <c r="F68" s="2" t="s">
        <v>72</v>
      </c>
      <c r="G68" s="2">
        <v>23</v>
      </c>
      <c r="H68" s="2">
        <v>400</v>
      </c>
      <c r="I68" s="2">
        <v>9200</v>
      </c>
      <c r="J68" s="2">
        <v>2</v>
      </c>
      <c r="K68" s="2" t="s">
        <v>46</v>
      </c>
    </row>
    <row r="69" spans="1:11" x14ac:dyDescent="0.35">
      <c r="A69" s="4" t="s">
        <v>170</v>
      </c>
      <c r="B69" s="5">
        <v>45486</v>
      </c>
      <c r="C69" s="4" t="s">
        <v>64</v>
      </c>
      <c r="D69" s="4" t="s">
        <v>49</v>
      </c>
      <c r="E69" s="4" t="s">
        <v>14</v>
      </c>
      <c r="F69" s="4" t="s">
        <v>171</v>
      </c>
      <c r="G69" s="4">
        <v>157</v>
      </c>
      <c r="H69" s="4">
        <v>700</v>
      </c>
      <c r="I69" s="4">
        <v>109900</v>
      </c>
      <c r="J69" s="4">
        <v>0</v>
      </c>
      <c r="K69" s="4" t="s">
        <v>33</v>
      </c>
    </row>
    <row r="70" spans="1:11" x14ac:dyDescent="0.35">
      <c r="A70" s="2" t="s">
        <v>172</v>
      </c>
      <c r="B70" s="3">
        <v>45629</v>
      </c>
      <c r="C70" s="2" t="s">
        <v>25</v>
      </c>
      <c r="D70" s="2" t="s">
        <v>173</v>
      </c>
      <c r="E70" s="2" t="s">
        <v>31</v>
      </c>
      <c r="F70" s="2" t="s">
        <v>58</v>
      </c>
      <c r="G70" s="2">
        <v>107</v>
      </c>
      <c r="H70" s="2">
        <v>850</v>
      </c>
      <c r="I70" s="2">
        <v>90950</v>
      </c>
      <c r="J70" s="2">
        <v>1</v>
      </c>
      <c r="K70" s="2" t="s">
        <v>22</v>
      </c>
    </row>
    <row r="71" spans="1:11" x14ac:dyDescent="0.35">
      <c r="A71" s="4" t="s">
        <v>174</v>
      </c>
      <c r="B71" s="5">
        <v>45636</v>
      </c>
      <c r="C71" s="4" t="s">
        <v>83</v>
      </c>
      <c r="D71" s="4" t="s">
        <v>41</v>
      </c>
      <c r="E71" s="4" t="s">
        <v>20</v>
      </c>
      <c r="F71" s="4" t="s">
        <v>133</v>
      </c>
      <c r="G71" s="4">
        <v>121</v>
      </c>
      <c r="H71" s="4">
        <v>1200</v>
      </c>
      <c r="I71" s="4">
        <v>217664.32191144541</v>
      </c>
      <c r="J71" s="4">
        <v>6</v>
      </c>
      <c r="K71" s="4" t="s">
        <v>16</v>
      </c>
    </row>
    <row r="72" spans="1:11" x14ac:dyDescent="0.35">
      <c r="A72" s="2" t="s">
        <v>175</v>
      </c>
      <c r="B72" s="3">
        <v>45340</v>
      </c>
      <c r="C72" s="2" t="s">
        <v>176</v>
      </c>
      <c r="D72" s="2" t="s">
        <v>26</v>
      </c>
      <c r="E72" s="2" t="s">
        <v>14</v>
      </c>
      <c r="F72" s="2" t="s">
        <v>171</v>
      </c>
      <c r="G72" s="2">
        <v>172</v>
      </c>
      <c r="H72" s="2">
        <v>700</v>
      </c>
      <c r="I72" s="2">
        <v>120400</v>
      </c>
      <c r="J72" s="2">
        <v>7</v>
      </c>
      <c r="K72" s="2" t="s">
        <v>122</v>
      </c>
    </row>
    <row r="73" spans="1:11" x14ac:dyDescent="0.35">
      <c r="A73" s="4" t="s">
        <v>147</v>
      </c>
      <c r="B73" s="5">
        <v>45573</v>
      </c>
      <c r="C73" s="4" t="s">
        <v>25</v>
      </c>
      <c r="D73" s="4" t="s">
        <v>35</v>
      </c>
      <c r="E73" s="4" t="s">
        <v>14</v>
      </c>
      <c r="F73" s="4" t="s">
        <v>99</v>
      </c>
      <c r="G73" s="4">
        <v>64</v>
      </c>
      <c r="H73" s="4">
        <v>1500</v>
      </c>
      <c r="I73" s="4">
        <v>96000</v>
      </c>
      <c r="J73" s="4">
        <v>6</v>
      </c>
      <c r="K73" s="4" t="s">
        <v>37</v>
      </c>
    </row>
    <row r="74" spans="1:11" x14ac:dyDescent="0.35">
      <c r="A74" s="2" t="s">
        <v>177</v>
      </c>
      <c r="B74" s="2" t="s">
        <v>178</v>
      </c>
      <c r="C74" s="2" t="s">
        <v>118</v>
      </c>
      <c r="D74" s="2" t="s">
        <v>41</v>
      </c>
      <c r="E74" s="2" t="s">
        <v>31</v>
      </c>
      <c r="F74" s="2" t="s">
        <v>81</v>
      </c>
      <c r="G74" s="2">
        <v>98</v>
      </c>
      <c r="H74" s="2">
        <v>650</v>
      </c>
      <c r="I74" s="2">
        <v>63700</v>
      </c>
      <c r="J74" s="2">
        <v>8</v>
      </c>
      <c r="K74" s="2" t="s">
        <v>22</v>
      </c>
    </row>
    <row r="75" spans="1:11" x14ac:dyDescent="0.35">
      <c r="A75" s="4" t="s">
        <v>179</v>
      </c>
      <c r="B75" s="5">
        <v>45435</v>
      </c>
      <c r="C75" s="4" t="s">
        <v>118</v>
      </c>
      <c r="D75" s="4" t="s">
        <v>93</v>
      </c>
      <c r="E75" s="4" t="s">
        <v>20</v>
      </c>
      <c r="F75" s="4" t="s">
        <v>21</v>
      </c>
      <c r="G75" s="4">
        <v>67</v>
      </c>
      <c r="H75" s="4">
        <v>3500</v>
      </c>
      <c r="I75" s="4">
        <v>234500</v>
      </c>
      <c r="J75" s="4">
        <v>0</v>
      </c>
      <c r="K75" s="4" t="s">
        <v>85</v>
      </c>
    </row>
    <row r="76" spans="1:11" x14ac:dyDescent="0.35">
      <c r="A76" s="2" t="s">
        <v>180</v>
      </c>
      <c r="B76" s="2" t="s">
        <v>181</v>
      </c>
      <c r="C76" s="2" t="s">
        <v>125</v>
      </c>
      <c r="D76" s="2" t="s">
        <v>35</v>
      </c>
      <c r="E76" s="2" t="s">
        <v>20</v>
      </c>
      <c r="F76" s="2" t="s">
        <v>133</v>
      </c>
      <c r="G76" s="2">
        <v>181</v>
      </c>
      <c r="H76" s="2">
        <v>1200</v>
      </c>
      <c r="I76" s="2">
        <v>217200</v>
      </c>
      <c r="J76" s="2">
        <v>8</v>
      </c>
      <c r="K76" s="2" t="s">
        <v>42</v>
      </c>
    </row>
    <row r="77" spans="1:11" x14ac:dyDescent="0.35">
      <c r="A77" s="4" t="s">
        <v>182</v>
      </c>
      <c r="B77" s="5">
        <v>45535</v>
      </c>
      <c r="C77" s="4" t="s">
        <v>96</v>
      </c>
      <c r="D77" s="4" t="s">
        <v>65</v>
      </c>
      <c r="E77" s="4" t="s">
        <v>20</v>
      </c>
      <c r="F77" s="4" t="s">
        <v>97</v>
      </c>
      <c r="G77" s="4">
        <v>134</v>
      </c>
      <c r="H77" s="4">
        <v>500</v>
      </c>
      <c r="I77" s="4">
        <v>67000</v>
      </c>
      <c r="J77" s="4">
        <v>0</v>
      </c>
      <c r="K77" s="4" t="s">
        <v>122</v>
      </c>
    </row>
    <row r="78" spans="1:11" x14ac:dyDescent="0.35">
      <c r="A78" s="2" t="s">
        <v>183</v>
      </c>
      <c r="B78" s="3">
        <v>45363</v>
      </c>
      <c r="C78" s="2" t="s">
        <v>156</v>
      </c>
      <c r="D78" s="2" t="s">
        <v>26</v>
      </c>
      <c r="E78" s="2" t="s">
        <v>14</v>
      </c>
      <c r="F78" s="2" t="s">
        <v>15</v>
      </c>
      <c r="G78" s="2">
        <v>151</v>
      </c>
      <c r="H78" s="2">
        <v>1200</v>
      </c>
      <c r="I78" s="2">
        <v>181200</v>
      </c>
      <c r="J78" s="2">
        <v>2</v>
      </c>
      <c r="K78" s="2" t="s">
        <v>16</v>
      </c>
    </row>
    <row r="79" spans="1:11" x14ac:dyDescent="0.35">
      <c r="A79" s="4" t="s">
        <v>184</v>
      </c>
      <c r="B79" s="5">
        <v>45541</v>
      </c>
      <c r="C79" s="4" t="s">
        <v>125</v>
      </c>
      <c r="D79" s="4" t="s">
        <v>185</v>
      </c>
      <c r="E79" s="4" t="s">
        <v>31</v>
      </c>
      <c r="F79" s="4" t="s">
        <v>159</v>
      </c>
      <c r="G79" s="4">
        <v>196</v>
      </c>
      <c r="H79" s="4">
        <v>1800</v>
      </c>
      <c r="I79" s="4">
        <v>352800</v>
      </c>
      <c r="J79" s="4">
        <v>16</v>
      </c>
      <c r="K79" s="4" t="s">
        <v>37</v>
      </c>
    </row>
    <row r="80" spans="1:11" x14ac:dyDescent="0.35">
      <c r="A80" s="2" t="s">
        <v>186</v>
      </c>
      <c r="B80" s="3">
        <v>45481</v>
      </c>
      <c r="C80" s="2" t="s">
        <v>44</v>
      </c>
      <c r="D80" s="2" t="s">
        <v>35</v>
      </c>
      <c r="E80" s="2" t="s">
        <v>14</v>
      </c>
      <c r="F80" s="2" t="s">
        <v>99</v>
      </c>
      <c r="G80" s="2">
        <v>83</v>
      </c>
      <c r="H80" s="2">
        <v>1500</v>
      </c>
      <c r="I80" s="2"/>
      <c r="J80" s="2">
        <v>7</v>
      </c>
      <c r="K80" s="2" t="s">
        <v>122</v>
      </c>
    </row>
    <row r="81" spans="1:11" x14ac:dyDescent="0.35">
      <c r="A81" s="4" t="s">
        <v>187</v>
      </c>
      <c r="B81" s="5">
        <v>45436</v>
      </c>
      <c r="C81" s="4" t="s">
        <v>188</v>
      </c>
      <c r="D81" s="4" t="s">
        <v>19</v>
      </c>
      <c r="E81" s="4" t="s">
        <v>14</v>
      </c>
      <c r="F81" s="4" t="s">
        <v>61</v>
      </c>
      <c r="G81" s="4">
        <v>31</v>
      </c>
      <c r="H81" s="4">
        <v>2200</v>
      </c>
      <c r="I81" s="4">
        <v>68200</v>
      </c>
      <c r="J81" s="4">
        <v>0</v>
      </c>
      <c r="K81" s="4" t="s">
        <v>122</v>
      </c>
    </row>
    <row r="82" spans="1:11" x14ac:dyDescent="0.35">
      <c r="A82" s="2" t="s">
        <v>189</v>
      </c>
      <c r="B82" s="3">
        <v>45632</v>
      </c>
      <c r="C82" s="2" t="s">
        <v>74</v>
      </c>
      <c r="D82" s="2" t="s">
        <v>49</v>
      </c>
      <c r="E82" s="2" t="s">
        <v>14</v>
      </c>
      <c r="F82" s="2" t="s">
        <v>15</v>
      </c>
      <c r="G82" s="2">
        <v>5</v>
      </c>
      <c r="H82" s="2">
        <v>1200</v>
      </c>
      <c r="I82" s="2">
        <v>6000</v>
      </c>
      <c r="J82" s="2">
        <v>0</v>
      </c>
      <c r="K82" s="2" t="s">
        <v>85</v>
      </c>
    </row>
    <row r="83" spans="1:11" x14ac:dyDescent="0.35">
      <c r="A83" s="4" t="s">
        <v>190</v>
      </c>
      <c r="B83" s="5">
        <v>45346</v>
      </c>
      <c r="C83" s="4" t="s">
        <v>64</v>
      </c>
      <c r="D83" s="4" t="s">
        <v>35</v>
      </c>
      <c r="E83" s="4" t="s">
        <v>20</v>
      </c>
      <c r="F83" s="4" t="s">
        <v>97</v>
      </c>
      <c r="G83" s="4">
        <v>110</v>
      </c>
      <c r="H83" s="4">
        <v>500</v>
      </c>
      <c r="I83" s="4">
        <v>55000</v>
      </c>
      <c r="J83" s="4">
        <v>2</v>
      </c>
      <c r="K83" s="4" t="s">
        <v>42</v>
      </c>
    </row>
    <row r="84" spans="1:11" x14ac:dyDescent="0.35">
      <c r="A84" s="2" t="s">
        <v>191</v>
      </c>
      <c r="B84" s="3">
        <v>45630</v>
      </c>
      <c r="C84" s="2" t="s">
        <v>125</v>
      </c>
      <c r="D84" s="2" t="s">
        <v>65</v>
      </c>
      <c r="E84" s="2" t="s">
        <v>31</v>
      </c>
      <c r="F84" s="2" t="s">
        <v>45</v>
      </c>
      <c r="G84" s="2">
        <v>102</v>
      </c>
      <c r="H84" s="2">
        <v>1200</v>
      </c>
      <c r="I84" s="2">
        <v>122400</v>
      </c>
      <c r="J84" s="2">
        <v>3</v>
      </c>
      <c r="K84" s="2" t="s">
        <v>42</v>
      </c>
    </row>
    <row r="85" spans="1:11" x14ac:dyDescent="0.35">
      <c r="A85" s="4" t="s">
        <v>192</v>
      </c>
      <c r="B85" s="5">
        <v>45597</v>
      </c>
      <c r="C85" s="4" t="s">
        <v>12</v>
      </c>
      <c r="D85" s="4" t="s">
        <v>41</v>
      </c>
      <c r="E85" s="4" t="s">
        <v>31</v>
      </c>
      <c r="F85" s="4" t="s">
        <v>159</v>
      </c>
      <c r="G85" s="4">
        <v>154</v>
      </c>
      <c r="H85" s="4">
        <v>1800</v>
      </c>
      <c r="I85" s="4">
        <v>277200</v>
      </c>
      <c r="J85" s="4">
        <v>12</v>
      </c>
      <c r="K85" s="4" t="s">
        <v>37</v>
      </c>
    </row>
    <row r="86" spans="1:11" x14ac:dyDescent="0.35">
      <c r="A86" s="2" t="s">
        <v>193</v>
      </c>
      <c r="B86" s="2" t="s">
        <v>194</v>
      </c>
      <c r="C86" s="2" t="s">
        <v>64</v>
      </c>
      <c r="D86" s="2" t="s">
        <v>35</v>
      </c>
      <c r="E86" s="2" t="s">
        <v>14</v>
      </c>
      <c r="F86" s="2" t="s">
        <v>15</v>
      </c>
      <c r="G86" s="2">
        <v>61</v>
      </c>
      <c r="H86" s="2">
        <v>1200</v>
      </c>
      <c r="I86" s="2">
        <v>73200</v>
      </c>
      <c r="J86" s="2">
        <v>4</v>
      </c>
      <c r="K86" s="2" t="s">
        <v>22</v>
      </c>
    </row>
    <row r="87" spans="1:11" x14ac:dyDescent="0.35">
      <c r="A87" s="4" t="s">
        <v>195</v>
      </c>
      <c r="B87" s="5">
        <v>45486</v>
      </c>
      <c r="C87" s="4" t="s">
        <v>156</v>
      </c>
      <c r="D87" s="4" t="s">
        <v>49</v>
      </c>
      <c r="E87" s="4" t="s">
        <v>31</v>
      </c>
      <c r="F87" s="4" t="s">
        <v>58</v>
      </c>
      <c r="G87" s="4">
        <v>-59</v>
      </c>
      <c r="H87" s="4">
        <v>850</v>
      </c>
      <c r="I87" s="4">
        <v>50150</v>
      </c>
      <c r="J87" s="4">
        <v>2</v>
      </c>
      <c r="K87" s="4" t="s">
        <v>85</v>
      </c>
    </row>
    <row r="88" spans="1:11" x14ac:dyDescent="0.35">
      <c r="A88" s="2" t="s">
        <v>196</v>
      </c>
      <c r="B88" s="3">
        <v>45575</v>
      </c>
      <c r="C88" s="2" t="s">
        <v>125</v>
      </c>
      <c r="D88" s="2" t="s">
        <v>41</v>
      </c>
      <c r="E88" s="2"/>
      <c r="F88" s="2" t="s">
        <v>121</v>
      </c>
      <c r="G88" s="2">
        <v>57</v>
      </c>
      <c r="H88" s="2">
        <v>200</v>
      </c>
      <c r="I88" s="2">
        <v>11400</v>
      </c>
      <c r="J88" s="2">
        <v>0</v>
      </c>
      <c r="K88" s="2" t="s">
        <v>33</v>
      </c>
    </row>
    <row r="89" spans="1:11" x14ac:dyDescent="0.35">
      <c r="A89" s="4" t="s">
        <v>197</v>
      </c>
      <c r="B89" s="4" t="s">
        <v>198</v>
      </c>
      <c r="C89" s="4" t="s">
        <v>88</v>
      </c>
      <c r="D89" s="4" t="s">
        <v>26</v>
      </c>
      <c r="E89" s="4" t="s">
        <v>14</v>
      </c>
      <c r="F89" s="4" t="s">
        <v>70</v>
      </c>
      <c r="G89" s="4">
        <v>177</v>
      </c>
      <c r="H89" s="4">
        <v>1800</v>
      </c>
      <c r="I89" s="4"/>
      <c r="J89" s="4">
        <v>17</v>
      </c>
      <c r="K89" s="4" t="s">
        <v>62</v>
      </c>
    </row>
    <row r="90" spans="1:11" x14ac:dyDescent="0.35">
      <c r="A90" s="2" t="s">
        <v>199</v>
      </c>
      <c r="B90" s="3">
        <v>45575</v>
      </c>
      <c r="C90" s="2" t="s">
        <v>60</v>
      </c>
      <c r="D90" s="2"/>
      <c r="E90" s="2" t="s">
        <v>31</v>
      </c>
      <c r="F90" s="2" t="s">
        <v>81</v>
      </c>
      <c r="G90" s="2">
        <v>30</v>
      </c>
      <c r="H90" s="2">
        <v>650</v>
      </c>
      <c r="I90" s="2">
        <v>19500</v>
      </c>
      <c r="J90" s="2">
        <v>0</v>
      </c>
      <c r="K90" s="2" t="s">
        <v>28</v>
      </c>
    </row>
    <row r="91" spans="1:11" x14ac:dyDescent="0.35">
      <c r="A91" s="4" t="s">
        <v>200</v>
      </c>
      <c r="B91" s="4" t="s">
        <v>201</v>
      </c>
      <c r="C91" s="4" t="s">
        <v>202</v>
      </c>
      <c r="D91" s="4" t="s">
        <v>65</v>
      </c>
      <c r="E91" s="4" t="s">
        <v>20</v>
      </c>
      <c r="F91" s="4" t="s">
        <v>153</v>
      </c>
      <c r="G91" s="4">
        <v>60</v>
      </c>
      <c r="H91" s="4">
        <v>2800</v>
      </c>
      <c r="I91" s="4">
        <v>168000</v>
      </c>
      <c r="J91" s="4">
        <v>2</v>
      </c>
      <c r="K91" s="4" t="s">
        <v>46</v>
      </c>
    </row>
    <row r="92" spans="1:11" x14ac:dyDescent="0.35">
      <c r="A92" s="2" t="s">
        <v>203</v>
      </c>
      <c r="B92" s="3">
        <v>45609</v>
      </c>
      <c r="C92" s="2" t="s">
        <v>88</v>
      </c>
      <c r="D92" s="2" t="s">
        <v>26</v>
      </c>
      <c r="E92" s="2" t="s">
        <v>31</v>
      </c>
      <c r="F92" s="2" t="s">
        <v>81</v>
      </c>
      <c r="G92" s="2">
        <v>19</v>
      </c>
      <c r="H92" s="2">
        <v>650</v>
      </c>
      <c r="I92" s="2">
        <v>12350</v>
      </c>
      <c r="J92" s="2">
        <v>1</v>
      </c>
      <c r="K92" s="2" t="s">
        <v>22</v>
      </c>
    </row>
    <row r="93" spans="1:11" x14ac:dyDescent="0.35">
      <c r="A93" s="4" t="s">
        <v>204</v>
      </c>
      <c r="B93" s="5">
        <v>45572</v>
      </c>
      <c r="C93" s="4" t="s">
        <v>165</v>
      </c>
      <c r="D93" s="4" t="s">
        <v>26</v>
      </c>
      <c r="E93" s="4" t="s">
        <v>31</v>
      </c>
      <c r="F93" s="4" t="s">
        <v>58</v>
      </c>
      <c r="G93" s="4">
        <v>40</v>
      </c>
      <c r="H93" s="4">
        <v>850</v>
      </c>
      <c r="I93" s="4">
        <v>34000</v>
      </c>
      <c r="J93" s="4">
        <v>0</v>
      </c>
      <c r="K93" s="4" t="s">
        <v>62</v>
      </c>
    </row>
    <row r="94" spans="1:11" x14ac:dyDescent="0.35">
      <c r="A94" s="2" t="s">
        <v>205</v>
      </c>
      <c r="B94" s="3">
        <v>45432</v>
      </c>
      <c r="C94" s="2" t="s">
        <v>96</v>
      </c>
      <c r="D94" s="2" t="s">
        <v>93</v>
      </c>
      <c r="E94" s="2" t="s">
        <v>31</v>
      </c>
      <c r="F94" s="2" t="s">
        <v>55</v>
      </c>
      <c r="G94" s="2">
        <v>123</v>
      </c>
      <c r="H94" s="2">
        <v>1100</v>
      </c>
      <c r="I94" s="2">
        <v>135300</v>
      </c>
      <c r="J94" s="2">
        <v>0</v>
      </c>
      <c r="K94" s="2" t="s">
        <v>16</v>
      </c>
    </row>
    <row r="95" spans="1:11" x14ac:dyDescent="0.35">
      <c r="A95" s="4" t="s">
        <v>206</v>
      </c>
      <c r="B95" s="4" t="s">
        <v>207</v>
      </c>
      <c r="C95" s="4" t="s">
        <v>109</v>
      </c>
      <c r="D95" s="4" t="s">
        <v>41</v>
      </c>
      <c r="E95" s="4" t="s">
        <v>20</v>
      </c>
      <c r="F95" s="4" t="s">
        <v>97</v>
      </c>
      <c r="G95" s="4">
        <v>121</v>
      </c>
      <c r="H95" s="4">
        <v>500</v>
      </c>
      <c r="I95" s="4">
        <v>60500</v>
      </c>
      <c r="J95" s="4">
        <v>0</v>
      </c>
      <c r="K95" s="4" t="s">
        <v>85</v>
      </c>
    </row>
    <row r="96" spans="1:11" x14ac:dyDescent="0.35">
      <c r="A96" s="2" t="s">
        <v>208</v>
      </c>
      <c r="B96" s="3">
        <v>45565</v>
      </c>
      <c r="C96" s="2" t="s">
        <v>106</v>
      </c>
      <c r="D96" s="2" t="s">
        <v>26</v>
      </c>
      <c r="E96" s="2" t="s">
        <v>20</v>
      </c>
      <c r="F96" s="2" t="s">
        <v>21</v>
      </c>
      <c r="G96" s="2">
        <v>11</v>
      </c>
      <c r="H96" s="2">
        <v>3500</v>
      </c>
      <c r="I96" s="2">
        <v>32612.262385686929</v>
      </c>
      <c r="J96" s="2">
        <v>1</v>
      </c>
      <c r="K96" s="2" t="s">
        <v>42</v>
      </c>
    </row>
    <row r="97" spans="1:11" x14ac:dyDescent="0.35">
      <c r="A97" s="4" t="s">
        <v>209</v>
      </c>
      <c r="B97" s="4" t="s">
        <v>210</v>
      </c>
      <c r="C97" s="4" t="s">
        <v>211</v>
      </c>
      <c r="D97" s="4" t="s">
        <v>35</v>
      </c>
      <c r="E97" s="4" t="s">
        <v>20</v>
      </c>
      <c r="F97" s="4" t="s">
        <v>52</v>
      </c>
      <c r="G97" s="4">
        <v>151</v>
      </c>
      <c r="H97" s="4" t="s">
        <v>127</v>
      </c>
      <c r="I97" s="4">
        <v>67950</v>
      </c>
      <c r="J97" s="4">
        <v>1</v>
      </c>
      <c r="K97" s="4" t="s">
        <v>16</v>
      </c>
    </row>
    <row r="98" spans="1:11" x14ac:dyDescent="0.35">
      <c r="A98" s="2" t="s">
        <v>212</v>
      </c>
      <c r="B98" s="3">
        <v>45639</v>
      </c>
      <c r="C98" s="2" t="s">
        <v>106</v>
      </c>
      <c r="D98" s="2" t="s">
        <v>49</v>
      </c>
      <c r="E98" s="2" t="s">
        <v>31</v>
      </c>
      <c r="F98" s="2" t="s">
        <v>159</v>
      </c>
      <c r="G98" s="2">
        <v>161</v>
      </c>
      <c r="H98" s="2">
        <v>1800</v>
      </c>
      <c r="I98" s="2">
        <v>289800</v>
      </c>
      <c r="J98" s="2">
        <v>0</v>
      </c>
      <c r="K98" s="2"/>
    </row>
    <row r="99" spans="1:11" x14ac:dyDescent="0.35">
      <c r="A99" s="4" t="s">
        <v>213</v>
      </c>
      <c r="B99" s="4" t="s">
        <v>214</v>
      </c>
      <c r="C99" s="4" t="s">
        <v>83</v>
      </c>
      <c r="D99" s="4" t="s">
        <v>93</v>
      </c>
      <c r="E99" s="4" t="s">
        <v>14</v>
      </c>
      <c r="F99" s="4" t="s">
        <v>27</v>
      </c>
      <c r="G99" s="4">
        <v>129</v>
      </c>
      <c r="H99" s="4">
        <v>1600</v>
      </c>
      <c r="I99" s="4">
        <v>206400</v>
      </c>
      <c r="J99" s="4">
        <v>7</v>
      </c>
      <c r="K99" s="4" t="s">
        <v>62</v>
      </c>
    </row>
    <row r="100" spans="1:11" x14ac:dyDescent="0.35">
      <c r="A100" s="2" t="s">
        <v>215</v>
      </c>
      <c r="B100" s="3">
        <v>45343</v>
      </c>
      <c r="C100" s="2" t="s">
        <v>51</v>
      </c>
      <c r="D100" s="2" t="s">
        <v>93</v>
      </c>
      <c r="E100" s="2" t="s">
        <v>31</v>
      </c>
      <c r="F100" s="2" t="s">
        <v>121</v>
      </c>
      <c r="G100" s="2">
        <v>163</v>
      </c>
      <c r="H100" s="2">
        <v>200</v>
      </c>
      <c r="I100" s="2">
        <v>32600</v>
      </c>
      <c r="J100" s="2">
        <v>5</v>
      </c>
      <c r="K100" s="2" t="s">
        <v>28</v>
      </c>
    </row>
    <row r="101" spans="1:11" x14ac:dyDescent="0.35">
      <c r="A101" s="4" t="s">
        <v>38</v>
      </c>
      <c r="B101" s="4" t="s">
        <v>39</v>
      </c>
      <c r="C101" s="4" t="s">
        <v>40</v>
      </c>
      <c r="D101" s="4" t="s">
        <v>41</v>
      </c>
      <c r="E101" s="4" t="s">
        <v>20</v>
      </c>
      <c r="F101" s="4" t="s">
        <v>36</v>
      </c>
      <c r="G101" s="4">
        <v>124</v>
      </c>
      <c r="H101" s="4">
        <v>900</v>
      </c>
      <c r="I101" s="4">
        <v>111600</v>
      </c>
      <c r="J101" s="4">
        <v>1</v>
      </c>
      <c r="K101" s="4" t="s">
        <v>42</v>
      </c>
    </row>
    <row r="102" spans="1:11" x14ac:dyDescent="0.35">
      <c r="A102" s="2" t="s">
        <v>216</v>
      </c>
      <c r="B102" s="2" t="s">
        <v>217</v>
      </c>
      <c r="C102" s="2" t="s">
        <v>88</v>
      </c>
      <c r="D102" s="2" t="s">
        <v>35</v>
      </c>
      <c r="E102" s="2" t="s">
        <v>20</v>
      </c>
      <c r="F102" s="2" t="s">
        <v>36</v>
      </c>
      <c r="G102" s="2">
        <v>130</v>
      </c>
      <c r="H102" s="2">
        <v>900</v>
      </c>
      <c r="I102" s="2">
        <v>117000</v>
      </c>
      <c r="J102" s="2">
        <v>0</v>
      </c>
      <c r="K102" s="2" t="s">
        <v>33</v>
      </c>
    </row>
    <row r="103" spans="1:11" x14ac:dyDescent="0.35">
      <c r="A103" s="4" t="s">
        <v>218</v>
      </c>
      <c r="B103" s="4" t="s">
        <v>219</v>
      </c>
      <c r="C103" s="4" t="s">
        <v>18</v>
      </c>
      <c r="D103" s="4"/>
      <c r="E103" s="4" t="s">
        <v>31</v>
      </c>
      <c r="F103" s="4" t="s">
        <v>81</v>
      </c>
      <c r="G103" s="4">
        <v>183</v>
      </c>
      <c r="H103" s="4">
        <v>650</v>
      </c>
      <c r="I103" s="4">
        <v>118950</v>
      </c>
      <c r="J103" s="4">
        <v>17</v>
      </c>
      <c r="K103" s="4" t="s">
        <v>22</v>
      </c>
    </row>
    <row r="104" spans="1:11" x14ac:dyDescent="0.35">
      <c r="A104" s="2" t="s">
        <v>220</v>
      </c>
      <c r="B104" s="2" t="s">
        <v>221</v>
      </c>
      <c r="C104" s="2" t="s">
        <v>109</v>
      </c>
      <c r="D104" s="2" t="s">
        <v>13</v>
      </c>
      <c r="E104" s="2" t="s">
        <v>20</v>
      </c>
      <c r="F104" s="2" t="s">
        <v>36</v>
      </c>
      <c r="G104" s="2">
        <v>186</v>
      </c>
      <c r="H104" s="2">
        <v>900</v>
      </c>
      <c r="I104" s="2"/>
      <c r="J104" s="2">
        <v>1</v>
      </c>
      <c r="K104" s="2" t="s">
        <v>22</v>
      </c>
    </row>
    <row r="105" spans="1:11" x14ac:dyDescent="0.35">
      <c r="A105" s="4" t="s">
        <v>222</v>
      </c>
      <c r="B105" s="4" t="s">
        <v>223</v>
      </c>
      <c r="C105" s="4" t="s">
        <v>74</v>
      </c>
      <c r="D105" s="4" t="s">
        <v>35</v>
      </c>
      <c r="E105" s="4" t="s">
        <v>31</v>
      </c>
      <c r="F105" s="4" t="s">
        <v>55</v>
      </c>
      <c r="G105" s="4">
        <v>187</v>
      </c>
      <c r="H105" s="4">
        <v>1100</v>
      </c>
      <c r="I105" s="4">
        <v>205700</v>
      </c>
      <c r="J105" s="4">
        <v>6</v>
      </c>
      <c r="K105" s="4" t="s">
        <v>62</v>
      </c>
    </row>
    <row r="106" spans="1:11" x14ac:dyDescent="0.35">
      <c r="A106" s="2" t="s">
        <v>224</v>
      </c>
      <c r="B106" s="3">
        <v>45643</v>
      </c>
      <c r="C106" s="2" t="s">
        <v>25</v>
      </c>
      <c r="D106" s="2" t="s">
        <v>41</v>
      </c>
      <c r="E106" s="2" t="s">
        <v>20</v>
      </c>
      <c r="F106" s="2" t="s">
        <v>21</v>
      </c>
      <c r="G106" s="2">
        <v>63</v>
      </c>
      <c r="H106" s="2">
        <v>3500</v>
      </c>
      <c r="I106" s="2">
        <v>260085.2064758685</v>
      </c>
      <c r="J106" s="2">
        <v>5</v>
      </c>
      <c r="K106" s="2" t="s">
        <v>122</v>
      </c>
    </row>
    <row r="107" spans="1:11" x14ac:dyDescent="0.35">
      <c r="A107" s="4" t="s">
        <v>225</v>
      </c>
      <c r="B107" s="5">
        <v>45524</v>
      </c>
      <c r="C107" s="4" t="s">
        <v>88</v>
      </c>
      <c r="D107" s="4" t="s">
        <v>41</v>
      </c>
      <c r="E107" s="4" t="s">
        <v>31</v>
      </c>
      <c r="F107" s="4" t="s">
        <v>159</v>
      </c>
      <c r="G107" s="4">
        <v>90</v>
      </c>
      <c r="H107" s="4">
        <v>1800</v>
      </c>
      <c r="I107" s="4">
        <v>162000</v>
      </c>
      <c r="J107" s="4">
        <v>0</v>
      </c>
      <c r="K107" s="4" t="s">
        <v>85</v>
      </c>
    </row>
    <row r="108" spans="1:11" x14ac:dyDescent="0.35">
      <c r="A108" s="2" t="s">
        <v>226</v>
      </c>
      <c r="B108" s="3">
        <v>45437</v>
      </c>
      <c r="C108" s="2" t="s">
        <v>51</v>
      </c>
      <c r="D108" s="2" t="s">
        <v>35</v>
      </c>
      <c r="E108" s="2" t="s">
        <v>20</v>
      </c>
      <c r="F108" s="2" t="s">
        <v>52</v>
      </c>
      <c r="G108" s="2">
        <v>140</v>
      </c>
      <c r="H108" s="2" t="s">
        <v>127</v>
      </c>
      <c r="I108" s="2">
        <v>63000</v>
      </c>
      <c r="J108" s="2">
        <v>0</v>
      </c>
      <c r="K108" s="2" t="s">
        <v>16</v>
      </c>
    </row>
    <row r="109" spans="1:11" x14ac:dyDescent="0.35">
      <c r="A109" s="4" t="s">
        <v>227</v>
      </c>
      <c r="B109" s="5">
        <v>45407</v>
      </c>
      <c r="C109" s="4" t="s">
        <v>125</v>
      </c>
      <c r="D109" s="4" t="s">
        <v>19</v>
      </c>
      <c r="E109" s="4" t="s">
        <v>31</v>
      </c>
      <c r="F109" s="4" t="s">
        <v>45</v>
      </c>
      <c r="G109" s="4">
        <v>126</v>
      </c>
      <c r="H109" s="4">
        <v>1200</v>
      </c>
      <c r="I109" s="4">
        <v>208112.6757603765</v>
      </c>
      <c r="J109" s="4">
        <v>6</v>
      </c>
      <c r="K109" s="4" t="s">
        <v>28</v>
      </c>
    </row>
    <row r="110" spans="1:11" x14ac:dyDescent="0.35">
      <c r="A110" s="2" t="s">
        <v>228</v>
      </c>
      <c r="B110" s="2" t="s">
        <v>68</v>
      </c>
      <c r="C110" s="2" t="s">
        <v>69</v>
      </c>
      <c r="D110" s="2" t="s">
        <v>41</v>
      </c>
      <c r="E110" s="2" t="s">
        <v>14</v>
      </c>
      <c r="F110" s="2" t="s">
        <v>72</v>
      </c>
      <c r="G110" s="2">
        <v>86</v>
      </c>
      <c r="H110" s="2">
        <v>400</v>
      </c>
      <c r="I110" s="2">
        <v>34400</v>
      </c>
      <c r="J110" s="2">
        <v>4</v>
      </c>
      <c r="K110" s="2" t="s">
        <v>122</v>
      </c>
    </row>
    <row r="111" spans="1:11" x14ac:dyDescent="0.35">
      <c r="A111" s="4" t="s">
        <v>229</v>
      </c>
      <c r="B111" s="4" t="s">
        <v>230</v>
      </c>
      <c r="C111" s="4" t="s">
        <v>118</v>
      </c>
      <c r="D111" s="4" t="s">
        <v>79</v>
      </c>
      <c r="E111" s="4" t="s">
        <v>20</v>
      </c>
      <c r="F111" s="4" t="s">
        <v>133</v>
      </c>
      <c r="G111" s="4">
        <v>28</v>
      </c>
      <c r="H111" s="4">
        <v>1200</v>
      </c>
      <c r="I111" s="4">
        <v>33600</v>
      </c>
      <c r="J111" s="4">
        <v>2</v>
      </c>
      <c r="K111" s="4" t="s">
        <v>28</v>
      </c>
    </row>
    <row r="112" spans="1:11" x14ac:dyDescent="0.35">
      <c r="A112" s="2" t="s">
        <v>231</v>
      </c>
      <c r="B112" s="2" t="s">
        <v>87</v>
      </c>
      <c r="C112" s="2" t="s">
        <v>40</v>
      </c>
      <c r="D112" s="2" t="s">
        <v>26</v>
      </c>
      <c r="E112" s="2" t="s">
        <v>20</v>
      </c>
      <c r="F112" s="2" t="s">
        <v>36</v>
      </c>
      <c r="G112" s="2">
        <v>193</v>
      </c>
      <c r="H112" s="2">
        <v>900</v>
      </c>
      <c r="I112" s="2">
        <v>173700</v>
      </c>
      <c r="J112" s="2">
        <v>0</v>
      </c>
      <c r="K112" s="2" t="s">
        <v>46</v>
      </c>
    </row>
    <row r="113" spans="1:11" x14ac:dyDescent="0.35">
      <c r="A113" s="4" t="s">
        <v>232</v>
      </c>
      <c r="B113" s="4" t="s">
        <v>233</v>
      </c>
      <c r="C113" s="4" t="s">
        <v>51</v>
      </c>
      <c r="D113" s="4" t="s">
        <v>13</v>
      </c>
      <c r="E113" s="4" t="s">
        <v>14</v>
      </c>
      <c r="F113" s="4" t="s">
        <v>70</v>
      </c>
      <c r="G113" s="4">
        <v>22</v>
      </c>
      <c r="H113" s="4">
        <v>1800</v>
      </c>
      <c r="I113" s="4">
        <v>39600</v>
      </c>
      <c r="J113" s="4">
        <v>0</v>
      </c>
      <c r="K113" s="4" t="s">
        <v>42</v>
      </c>
    </row>
    <row r="114" spans="1:11" x14ac:dyDescent="0.35">
      <c r="A114" s="2" t="s">
        <v>234</v>
      </c>
      <c r="B114" s="2" t="s">
        <v>235</v>
      </c>
      <c r="C114" s="2" t="s">
        <v>64</v>
      </c>
      <c r="D114" s="2" t="s">
        <v>79</v>
      </c>
      <c r="E114" s="2" t="s">
        <v>31</v>
      </c>
      <c r="F114" s="2" t="s">
        <v>55</v>
      </c>
      <c r="G114" s="2">
        <v>12</v>
      </c>
      <c r="H114" s="2">
        <v>1100</v>
      </c>
      <c r="I114" s="2">
        <v>13200</v>
      </c>
      <c r="J114" s="2">
        <v>0</v>
      </c>
      <c r="K114" s="2" t="s">
        <v>62</v>
      </c>
    </row>
    <row r="115" spans="1:11" x14ac:dyDescent="0.35">
      <c r="A115" s="4" t="s">
        <v>236</v>
      </c>
      <c r="B115" s="4" t="s">
        <v>233</v>
      </c>
      <c r="C115" s="4" t="s">
        <v>106</v>
      </c>
      <c r="D115" s="4" t="s">
        <v>19</v>
      </c>
      <c r="E115" s="4" t="s">
        <v>20</v>
      </c>
      <c r="F115" s="4" t="s">
        <v>52</v>
      </c>
      <c r="G115" s="4">
        <v>146</v>
      </c>
      <c r="H115" s="4">
        <v>450</v>
      </c>
      <c r="I115" s="4">
        <v>65700</v>
      </c>
      <c r="J115" s="4">
        <v>13</v>
      </c>
      <c r="K115" s="4" t="s">
        <v>42</v>
      </c>
    </row>
    <row r="116" spans="1:11" x14ac:dyDescent="0.35">
      <c r="A116" s="2" t="s">
        <v>237</v>
      </c>
      <c r="B116" s="3">
        <v>45358</v>
      </c>
      <c r="C116" s="2" t="s">
        <v>40</v>
      </c>
      <c r="D116" s="2" t="s">
        <v>54</v>
      </c>
      <c r="E116" s="2" t="s">
        <v>20</v>
      </c>
      <c r="F116" s="2" t="s">
        <v>36</v>
      </c>
      <c r="G116" s="2">
        <v>146</v>
      </c>
      <c r="H116" s="2">
        <v>900</v>
      </c>
      <c r="I116" s="2">
        <v>131400</v>
      </c>
      <c r="J116" s="2">
        <v>11</v>
      </c>
      <c r="K116" s="2" t="s">
        <v>37</v>
      </c>
    </row>
    <row r="117" spans="1:11" x14ac:dyDescent="0.35">
      <c r="A117" s="4" t="s">
        <v>238</v>
      </c>
      <c r="B117" s="4" t="s">
        <v>239</v>
      </c>
      <c r="C117" s="4" t="s">
        <v>88</v>
      </c>
      <c r="D117" s="4" t="s">
        <v>13</v>
      </c>
      <c r="E117" s="4" t="s">
        <v>20</v>
      </c>
      <c r="F117" s="4" t="s">
        <v>153</v>
      </c>
      <c r="G117" s="4">
        <v>197</v>
      </c>
      <c r="H117" s="4">
        <v>2800</v>
      </c>
      <c r="I117" s="4">
        <v>551600</v>
      </c>
      <c r="J117" s="4">
        <v>0</v>
      </c>
      <c r="K117" s="4" t="s">
        <v>33</v>
      </c>
    </row>
    <row r="118" spans="1:11" x14ac:dyDescent="0.35">
      <c r="A118" s="2" t="s">
        <v>240</v>
      </c>
      <c r="B118" s="3">
        <v>45373</v>
      </c>
      <c r="C118" s="2" t="s">
        <v>92</v>
      </c>
      <c r="D118" s="2" t="s">
        <v>19</v>
      </c>
      <c r="E118" s="2" t="s">
        <v>31</v>
      </c>
      <c r="F118" s="2" t="s">
        <v>159</v>
      </c>
      <c r="G118" s="2">
        <v>49</v>
      </c>
      <c r="H118" s="2">
        <v>1800</v>
      </c>
      <c r="I118" s="2">
        <v>88200</v>
      </c>
      <c r="J118" s="2">
        <v>0</v>
      </c>
      <c r="K118" s="2" t="s">
        <v>28</v>
      </c>
    </row>
    <row r="119" spans="1:11" x14ac:dyDescent="0.35">
      <c r="A119" s="4" t="s">
        <v>241</v>
      </c>
      <c r="B119" s="5">
        <v>45425</v>
      </c>
      <c r="C119" s="4" t="s">
        <v>88</v>
      </c>
      <c r="D119" s="4" t="s">
        <v>93</v>
      </c>
      <c r="E119" s="4" t="s">
        <v>20</v>
      </c>
      <c r="F119" s="4" t="s">
        <v>21</v>
      </c>
      <c r="G119" s="4">
        <v>175</v>
      </c>
      <c r="H119" s="4">
        <v>3500</v>
      </c>
      <c r="I119" s="4">
        <v>612500</v>
      </c>
      <c r="J119" s="4">
        <v>5</v>
      </c>
      <c r="K119" s="4" t="s">
        <v>85</v>
      </c>
    </row>
    <row r="120" spans="1:11" x14ac:dyDescent="0.35">
      <c r="A120" s="2" t="s">
        <v>242</v>
      </c>
      <c r="B120" s="2" t="s">
        <v>243</v>
      </c>
      <c r="C120" s="2" t="s">
        <v>74</v>
      </c>
      <c r="D120" s="2" t="s">
        <v>93</v>
      </c>
      <c r="E120" s="2" t="s">
        <v>31</v>
      </c>
      <c r="F120" s="2" t="s">
        <v>55</v>
      </c>
      <c r="G120" s="2">
        <v>11</v>
      </c>
      <c r="H120" s="2">
        <v>1100</v>
      </c>
      <c r="I120" s="2">
        <v>12100</v>
      </c>
      <c r="J120" s="2">
        <v>0</v>
      </c>
      <c r="K120" s="2" t="s">
        <v>33</v>
      </c>
    </row>
    <row r="121" spans="1:11" x14ac:dyDescent="0.35">
      <c r="A121" s="4" t="s">
        <v>244</v>
      </c>
      <c r="B121" s="5">
        <v>45372</v>
      </c>
      <c r="C121" s="4" t="s">
        <v>96</v>
      </c>
      <c r="D121" s="4" t="s">
        <v>49</v>
      </c>
      <c r="E121" s="4" t="s">
        <v>20</v>
      </c>
      <c r="F121" s="4" t="s">
        <v>97</v>
      </c>
      <c r="G121" s="4">
        <v>65</v>
      </c>
      <c r="H121" s="4">
        <v>500</v>
      </c>
      <c r="I121" s="4">
        <v>32500</v>
      </c>
      <c r="J121" s="4">
        <v>0</v>
      </c>
      <c r="K121" s="4" t="s">
        <v>42</v>
      </c>
    </row>
    <row r="122" spans="1:11" x14ac:dyDescent="0.35">
      <c r="A122" s="2" t="s">
        <v>245</v>
      </c>
      <c r="B122" s="3">
        <v>45400</v>
      </c>
      <c r="C122" s="2" t="s">
        <v>69</v>
      </c>
      <c r="D122" s="2" t="s">
        <v>54</v>
      </c>
      <c r="E122" s="2" t="s">
        <v>20</v>
      </c>
      <c r="F122" s="2" t="s">
        <v>97</v>
      </c>
      <c r="G122" s="2">
        <v>35</v>
      </c>
      <c r="H122" s="2">
        <v>500</v>
      </c>
      <c r="I122" s="2">
        <v>17500</v>
      </c>
      <c r="J122" s="2">
        <v>0</v>
      </c>
      <c r="K122" s="2" t="s">
        <v>85</v>
      </c>
    </row>
    <row r="123" spans="1:11" x14ac:dyDescent="0.35">
      <c r="A123" s="4" t="s">
        <v>246</v>
      </c>
      <c r="B123" s="4" t="s">
        <v>247</v>
      </c>
      <c r="C123" s="4" t="s">
        <v>106</v>
      </c>
      <c r="D123" s="4" t="s">
        <v>41</v>
      </c>
      <c r="E123" s="4" t="s">
        <v>31</v>
      </c>
      <c r="F123" s="4" t="s">
        <v>32</v>
      </c>
      <c r="G123" s="4">
        <v>57</v>
      </c>
      <c r="H123" s="4">
        <v>1400</v>
      </c>
      <c r="I123" s="4">
        <v>79800</v>
      </c>
      <c r="J123" s="4">
        <v>0</v>
      </c>
      <c r="K123" s="4" t="s">
        <v>62</v>
      </c>
    </row>
    <row r="124" spans="1:11" x14ac:dyDescent="0.35">
      <c r="A124" s="2" t="s">
        <v>248</v>
      </c>
      <c r="B124" s="3">
        <v>45538</v>
      </c>
      <c r="C124" s="2" t="s">
        <v>18</v>
      </c>
      <c r="D124" s="2" t="s">
        <v>13</v>
      </c>
      <c r="E124" s="2" t="s">
        <v>20</v>
      </c>
      <c r="F124" s="2" t="s">
        <v>153</v>
      </c>
      <c r="G124" s="2">
        <v>115</v>
      </c>
      <c r="H124" s="2">
        <v>2800</v>
      </c>
      <c r="I124" s="2">
        <v>322000</v>
      </c>
      <c r="J124" s="2">
        <v>3</v>
      </c>
      <c r="K124" s="2" t="s">
        <v>37</v>
      </c>
    </row>
    <row r="125" spans="1:11" x14ac:dyDescent="0.35">
      <c r="A125" s="4" t="s">
        <v>249</v>
      </c>
      <c r="B125" s="5">
        <v>45449</v>
      </c>
      <c r="C125" s="4" t="s">
        <v>109</v>
      </c>
      <c r="D125" s="4" t="s">
        <v>250</v>
      </c>
      <c r="E125" s="4" t="s">
        <v>31</v>
      </c>
      <c r="F125" s="4" t="s">
        <v>159</v>
      </c>
      <c r="G125" s="4">
        <v>57</v>
      </c>
      <c r="H125" s="4">
        <v>1800</v>
      </c>
      <c r="I125" s="4">
        <v>102600</v>
      </c>
      <c r="J125" s="4">
        <v>0</v>
      </c>
      <c r="K125" s="4" t="s">
        <v>22</v>
      </c>
    </row>
    <row r="126" spans="1:11" x14ac:dyDescent="0.35">
      <c r="A126" s="2" t="s">
        <v>251</v>
      </c>
      <c r="B126" s="3">
        <v>45570</v>
      </c>
      <c r="C126" s="2" t="s">
        <v>96</v>
      </c>
      <c r="D126" s="2" t="s">
        <v>93</v>
      </c>
      <c r="E126" s="2" t="s">
        <v>20</v>
      </c>
      <c r="F126" s="2" t="s">
        <v>52</v>
      </c>
      <c r="G126" s="2">
        <v>26</v>
      </c>
      <c r="H126" s="2">
        <v>450</v>
      </c>
      <c r="I126" s="2">
        <v>11700</v>
      </c>
      <c r="J126" s="2">
        <v>0</v>
      </c>
      <c r="K126" s="2" t="s">
        <v>46</v>
      </c>
    </row>
    <row r="127" spans="1:11" x14ac:dyDescent="0.35">
      <c r="A127" s="4" t="s">
        <v>252</v>
      </c>
      <c r="B127" s="5">
        <v>45437</v>
      </c>
      <c r="C127" s="4" t="s">
        <v>69</v>
      </c>
      <c r="D127" s="4" t="s">
        <v>54</v>
      </c>
      <c r="E127" s="4" t="s">
        <v>20</v>
      </c>
      <c r="F127" s="4" t="s">
        <v>133</v>
      </c>
      <c r="G127" s="4">
        <v>61</v>
      </c>
      <c r="H127" s="4">
        <v>1200</v>
      </c>
      <c r="I127" s="4">
        <v>73200</v>
      </c>
      <c r="J127" s="4">
        <v>0</v>
      </c>
      <c r="K127" s="4" t="s">
        <v>33</v>
      </c>
    </row>
    <row r="128" spans="1:11" x14ac:dyDescent="0.35">
      <c r="A128" s="2" t="s">
        <v>253</v>
      </c>
      <c r="B128" s="3">
        <v>45475</v>
      </c>
      <c r="C128" s="2" t="s">
        <v>125</v>
      </c>
      <c r="D128" s="2" t="s">
        <v>26</v>
      </c>
      <c r="E128" s="2" t="s">
        <v>31</v>
      </c>
      <c r="F128" s="2" t="s">
        <v>89</v>
      </c>
      <c r="G128" s="2">
        <v>184</v>
      </c>
      <c r="H128" s="2">
        <v>900</v>
      </c>
      <c r="I128" s="2">
        <v>165600</v>
      </c>
      <c r="J128" s="2">
        <v>13</v>
      </c>
      <c r="K128" s="2" t="s">
        <v>85</v>
      </c>
    </row>
    <row r="129" spans="1:11" x14ac:dyDescent="0.35">
      <c r="A129" s="4" t="s">
        <v>254</v>
      </c>
      <c r="B129" s="4" t="s">
        <v>255</v>
      </c>
      <c r="C129" s="4" t="s">
        <v>18</v>
      </c>
      <c r="D129" s="4" t="s">
        <v>13</v>
      </c>
      <c r="E129" s="4" t="s">
        <v>20</v>
      </c>
      <c r="F129" s="4" t="s">
        <v>36</v>
      </c>
      <c r="G129" s="4">
        <v>106</v>
      </c>
      <c r="H129" s="4">
        <v>900</v>
      </c>
      <c r="I129" s="4">
        <v>95400</v>
      </c>
      <c r="J129" s="4">
        <v>0</v>
      </c>
      <c r="K129" s="4" t="s">
        <v>85</v>
      </c>
    </row>
    <row r="130" spans="1:11" x14ac:dyDescent="0.35">
      <c r="A130" s="2" t="s">
        <v>256</v>
      </c>
      <c r="B130" s="3">
        <v>45501</v>
      </c>
      <c r="C130" s="2" t="s">
        <v>74</v>
      </c>
      <c r="D130" s="2" t="s">
        <v>35</v>
      </c>
      <c r="E130" s="2" t="s">
        <v>31</v>
      </c>
      <c r="F130" s="2" t="s">
        <v>55</v>
      </c>
      <c r="G130" s="2">
        <v>173</v>
      </c>
      <c r="H130" s="2">
        <v>1100</v>
      </c>
      <c r="I130" s="2">
        <v>190300</v>
      </c>
      <c r="J130" s="2">
        <v>15</v>
      </c>
      <c r="K130" s="2" t="s">
        <v>46</v>
      </c>
    </row>
    <row r="131" spans="1:11" x14ac:dyDescent="0.35">
      <c r="A131" s="4" t="s">
        <v>257</v>
      </c>
      <c r="B131" s="5">
        <v>45493</v>
      </c>
      <c r="C131" s="4" t="s">
        <v>44</v>
      </c>
      <c r="D131" s="4" t="s">
        <v>65</v>
      </c>
      <c r="E131" s="4" t="s">
        <v>20</v>
      </c>
      <c r="F131" s="4" t="s">
        <v>36</v>
      </c>
      <c r="G131" s="4">
        <v>39</v>
      </c>
      <c r="H131" s="4">
        <v>900</v>
      </c>
      <c r="I131" s="4">
        <v>35100</v>
      </c>
      <c r="J131" s="4">
        <v>3</v>
      </c>
      <c r="K131" s="4" t="s">
        <v>22</v>
      </c>
    </row>
    <row r="132" spans="1:11" x14ac:dyDescent="0.35">
      <c r="A132" s="2" t="s">
        <v>258</v>
      </c>
      <c r="B132" s="2" t="s">
        <v>259</v>
      </c>
      <c r="C132" s="2" t="s">
        <v>60</v>
      </c>
      <c r="D132" s="2" t="s">
        <v>41</v>
      </c>
      <c r="E132" s="2" t="s">
        <v>14</v>
      </c>
      <c r="F132" s="2" t="s">
        <v>61</v>
      </c>
      <c r="G132" s="2">
        <v>110</v>
      </c>
      <c r="H132" s="2">
        <v>2200</v>
      </c>
      <c r="I132" s="2">
        <v>242000</v>
      </c>
      <c r="J132" s="2">
        <v>6</v>
      </c>
      <c r="K132" s="2" t="s">
        <v>37</v>
      </c>
    </row>
    <row r="133" spans="1:11" x14ac:dyDescent="0.35">
      <c r="A133" s="4" t="s">
        <v>260</v>
      </c>
      <c r="B133" s="4" t="s">
        <v>261</v>
      </c>
      <c r="C133" s="4" t="s">
        <v>262</v>
      </c>
      <c r="D133" s="4" t="s">
        <v>49</v>
      </c>
      <c r="E133" s="4" t="s">
        <v>14</v>
      </c>
      <c r="F133" s="4" t="s">
        <v>72</v>
      </c>
      <c r="G133" s="4">
        <v>111</v>
      </c>
      <c r="H133" s="4">
        <v>400</v>
      </c>
      <c r="I133" s="4">
        <v>44400</v>
      </c>
      <c r="J133" s="4">
        <v>6</v>
      </c>
      <c r="K133" s="4" t="s">
        <v>28</v>
      </c>
    </row>
    <row r="134" spans="1:11" x14ac:dyDescent="0.35">
      <c r="A134" s="2" t="s">
        <v>147</v>
      </c>
      <c r="B134" s="3">
        <v>45573</v>
      </c>
      <c r="C134" s="2" t="s">
        <v>25</v>
      </c>
      <c r="D134" s="2" t="s">
        <v>35</v>
      </c>
      <c r="E134" s="2" t="s">
        <v>14</v>
      </c>
      <c r="F134" s="2" t="s">
        <v>99</v>
      </c>
      <c r="G134" s="2">
        <v>64</v>
      </c>
      <c r="H134" s="2">
        <v>1500</v>
      </c>
      <c r="I134" s="2">
        <v>96000</v>
      </c>
      <c r="J134" s="2">
        <v>6</v>
      </c>
      <c r="K134" s="2" t="s">
        <v>37</v>
      </c>
    </row>
    <row r="135" spans="1:11" x14ac:dyDescent="0.35">
      <c r="A135" s="4" t="s">
        <v>263</v>
      </c>
      <c r="B135" s="5">
        <v>45328</v>
      </c>
      <c r="C135" s="4" t="s">
        <v>125</v>
      </c>
      <c r="D135" s="4" t="s">
        <v>41</v>
      </c>
      <c r="E135" s="4" t="s">
        <v>20</v>
      </c>
      <c r="F135" s="4" t="s">
        <v>153</v>
      </c>
      <c r="G135" s="4">
        <v>78</v>
      </c>
      <c r="H135" s="4">
        <v>2800</v>
      </c>
      <c r="I135" s="4">
        <v>218400</v>
      </c>
      <c r="J135" s="4">
        <v>4</v>
      </c>
      <c r="K135" s="4" t="s">
        <v>85</v>
      </c>
    </row>
    <row r="136" spans="1:11" x14ac:dyDescent="0.35">
      <c r="A136" s="2" t="s">
        <v>264</v>
      </c>
      <c r="B136" s="3">
        <v>45449</v>
      </c>
      <c r="C136" s="2" t="s">
        <v>60</v>
      </c>
      <c r="D136" s="2" t="s">
        <v>41</v>
      </c>
      <c r="E136" s="2" t="s">
        <v>31</v>
      </c>
      <c r="F136" s="2" t="s">
        <v>45</v>
      </c>
      <c r="G136" s="2">
        <v>192</v>
      </c>
      <c r="H136" s="2">
        <v>1200</v>
      </c>
      <c r="I136" s="2">
        <v>230400</v>
      </c>
      <c r="J136" s="2">
        <v>4</v>
      </c>
      <c r="K136" s="2" t="s">
        <v>28</v>
      </c>
    </row>
    <row r="137" spans="1:11" x14ac:dyDescent="0.35">
      <c r="A137" s="4" t="s">
        <v>265</v>
      </c>
      <c r="B137" s="5">
        <v>45515</v>
      </c>
      <c r="C137" s="4" t="s">
        <v>96</v>
      </c>
      <c r="D137" s="4" t="s">
        <v>54</v>
      </c>
      <c r="E137" s="4" t="s">
        <v>20</v>
      </c>
      <c r="F137" s="4" t="s">
        <v>52</v>
      </c>
      <c r="G137" s="4">
        <v>89</v>
      </c>
      <c r="H137" s="4">
        <v>450</v>
      </c>
      <c r="I137" s="4">
        <v>40050</v>
      </c>
      <c r="J137" s="4">
        <v>8</v>
      </c>
      <c r="K137" s="4" t="s">
        <v>16</v>
      </c>
    </row>
    <row r="138" spans="1:11" x14ac:dyDescent="0.35">
      <c r="A138" s="2" t="s">
        <v>266</v>
      </c>
      <c r="B138" s="3">
        <v>45314</v>
      </c>
      <c r="C138" s="2" t="s">
        <v>156</v>
      </c>
      <c r="D138" s="2" t="s">
        <v>93</v>
      </c>
      <c r="E138" s="2" t="s">
        <v>31</v>
      </c>
      <c r="F138" s="2" t="s">
        <v>89</v>
      </c>
      <c r="G138" s="2">
        <v>140</v>
      </c>
      <c r="H138" s="2">
        <v>900</v>
      </c>
      <c r="I138" s="2">
        <v>126000</v>
      </c>
      <c r="J138" s="2">
        <v>0</v>
      </c>
      <c r="K138" s="2"/>
    </row>
    <row r="139" spans="1:11" x14ac:dyDescent="0.35">
      <c r="A139" s="4" t="s">
        <v>38</v>
      </c>
      <c r="B139" s="4" t="s">
        <v>39</v>
      </c>
      <c r="C139" s="4" t="s">
        <v>40</v>
      </c>
      <c r="D139" s="4" t="s">
        <v>41</v>
      </c>
      <c r="E139" s="4" t="s">
        <v>20</v>
      </c>
      <c r="F139" s="4" t="s">
        <v>36</v>
      </c>
      <c r="G139" s="4">
        <v>124</v>
      </c>
      <c r="H139" s="4">
        <v>900</v>
      </c>
      <c r="I139" s="4">
        <v>111600</v>
      </c>
      <c r="J139" s="4">
        <v>1</v>
      </c>
      <c r="K139" s="4" t="s">
        <v>42</v>
      </c>
    </row>
    <row r="140" spans="1:11" x14ac:dyDescent="0.35">
      <c r="A140" s="2" t="s">
        <v>267</v>
      </c>
      <c r="B140" s="3">
        <v>45582</v>
      </c>
      <c r="C140" s="2" t="s">
        <v>30</v>
      </c>
      <c r="D140" s="2" t="s">
        <v>130</v>
      </c>
      <c r="E140" s="2" t="s">
        <v>31</v>
      </c>
      <c r="F140" s="2" t="s">
        <v>45</v>
      </c>
      <c r="G140" s="2">
        <v>63</v>
      </c>
      <c r="H140" s="2"/>
      <c r="I140" s="2">
        <v>75600</v>
      </c>
      <c r="J140" s="2">
        <v>0</v>
      </c>
      <c r="K140" s="2" t="s">
        <v>33</v>
      </c>
    </row>
    <row r="141" spans="1:11" x14ac:dyDescent="0.35">
      <c r="A141" s="4" t="s">
        <v>268</v>
      </c>
      <c r="B141" s="5">
        <v>45354</v>
      </c>
      <c r="C141" s="4" t="s">
        <v>83</v>
      </c>
      <c r="D141" s="4" t="s">
        <v>13</v>
      </c>
      <c r="E141" s="4" t="s">
        <v>20</v>
      </c>
      <c r="F141" s="4" t="s">
        <v>153</v>
      </c>
      <c r="G141" s="4">
        <v>171</v>
      </c>
      <c r="H141" s="4">
        <v>2800</v>
      </c>
      <c r="I141" s="4">
        <v>478800</v>
      </c>
      <c r="J141" s="4">
        <v>16</v>
      </c>
      <c r="K141" s="4" t="s">
        <v>28</v>
      </c>
    </row>
    <row r="142" spans="1:11" x14ac:dyDescent="0.35">
      <c r="A142" s="2" t="s">
        <v>269</v>
      </c>
      <c r="B142" s="3">
        <v>45345</v>
      </c>
      <c r="C142" s="2" t="s">
        <v>60</v>
      </c>
      <c r="D142" s="2" t="s">
        <v>19</v>
      </c>
      <c r="E142" s="2" t="s">
        <v>14</v>
      </c>
      <c r="F142" s="2" t="s">
        <v>27</v>
      </c>
      <c r="G142" s="2">
        <v>41</v>
      </c>
      <c r="H142" s="2">
        <v>1600</v>
      </c>
      <c r="I142" s="2">
        <v>65600</v>
      </c>
      <c r="J142" s="2">
        <v>4</v>
      </c>
      <c r="K142" s="2" t="s">
        <v>122</v>
      </c>
    </row>
    <row r="143" spans="1:11" x14ac:dyDescent="0.35">
      <c r="A143" s="4" t="s">
        <v>270</v>
      </c>
      <c r="B143" s="5">
        <v>45604</v>
      </c>
      <c r="C143" s="4" t="s">
        <v>25</v>
      </c>
      <c r="D143" s="4" t="s">
        <v>13</v>
      </c>
      <c r="E143" s="4" t="s">
        <v>20</v>
      </c>
      <c r="F143" s="4" t="s">
        <v>133</v>
      </c>
      <c r="G143" s="4">
        <v>84</v>
      </c>
      <c r="H143" s="4">
        <v>1200</v>
      </c>
      <c r="I143" s="4">
        <v>100800</v>
      </c>
      <c r="J143" s="4">
        <v>0</v>
      </c>
      <c r="K143" s="4" t="s">
        <v>46</v>
      </c>
    </row>
    <row r="144" spans="1:11" x14ac:dyDescent="0.35">
      <c r="A144" s="2" t="s">
        <v>271</v>
      </c>
      <c r="B144" s="2" t="s">
        <v>272</v>
      </c>
      <c r="C144" s="2" t="s">
        <v>44</v>
      </c>
      <c r="D144" s="2" t="s">
        <v>35</v>
      </c>
      <c r="E144" s="2" t="s">
        <v>14</v>
      </c>
      <c r="F144" s="2" t="s">
        <v>72</v>
      </c>
      <c r="G144" s="2">
        <v>189</v>
      </c>
      <c r="H144" s="2">
        <v>400</v>
      </c>
      <c r="I144" s="2">
        <v>75600</v>
      </c>
      <c r="J144" s="2">
        <v>0</v>
      </c>
      <c r="K144" s="2" t="s">
        <v>22</v>
      </c>
    </row>
    <row r="145" spans="1:11" x14ac:dyDescent="0.35">
      <c r="A145" s="4" t="s">
        <v>273</v>
      </c>
      <c r="B145" s="4" t="s">
        <v>274</v>
      </c>
      <c r="C145" s="4" t="s">
        <v>74</v>
      </c>
      <c r="D145" s="4" t="s">
        <v>35</v>
      </c>
      <c r="E145" s="4" t="s">
        <v>20</v>
      </c>
      <c r="F145" s="4" t="s">
        <v>133</v>
      </c>
      <c r="G145" s="4">
        <v>39</v>
      </c>
      <c r="H145" s="4" t="s">
        <v>66</v>
      </c>
      <c r="I145" s="4">
        <v>46800</v>
      </c>
      <c r="J145" s="4">
        <v>0</v>
      </c>
      <c r="K145" s="4" t="s">
        <v>28</v>
      </c>
    </row>
    <row r="146" spans="1:11" x14ac:dyDescent="0.35">
      <c r="A146" s="2" t="s">
        <v>275</v>
      </c>
      <c r="B146" s="3">
        <v>45523</v>
      </c>
      <c r="C146" s="2" t="s">
        <v>51</v>
      </c>
      <c r="D146" s="2" t="s">
        <v>13</v>
      </c>
      <c r="E146" s="2" t="s">
        <v>31</v>
      </c>
      <c r="F146" s="2" t="s">
        <v>58</v>
      </c>
      <c r="G146" s="2">
        <v>31</v>
      </c>
      <c r="H146" s="2">
        <v>850</v>
      </c>
      <c r="I146" s="2">
        <v>41619.404229050757</v>
      </c>
      <c r="J146" s="2">
        <v>1</v>
      </c>
      <c r="K146" s="2" t="s">
        <v>62</v>
      </c>
    </row>
    <row r="147" spans="1:11" x14ac:dyDescent="0.35">
      <c r="A147" s="4" t="s">
        <v>276</v>
      </c>
      <c r="B147" s="5">
        <v>45507</v>
      </c>
      <c r="C147" s="4" t="s">
        <v>118</v>
      </c>
      <c r="D147" s="4" t="s">
        <v>79</v>
      </c>
      <c r="E147" s="4" t="s">
        <v>31</v>
      </c>
      <c r="F147" s="4" t="s">
        <v>159</v>
      </c>
      <c r="G147" s="4">
        <v>94</v>
      </c>
      <c r="H147" s="4">
        <v>1800</v>
      </c>
      <c r="I147" s="4">
        <v>169200</v>
      </c>
      <c r="J147" s="4">
        <v>0</v>
      </c>
      <c r="K147" s="4"/>
    </row>
    <row r="148" spans="1:11" x14ac:dyDescent="0.35">
      <c r="A148" s="2" t="s">
        <v>277</v>
      </c>
      <c r="B148" s="3">
        <v>45419</v>
      </c>
      <c r="C148" s="2" t="s">
        <v>109</v>
      </c>
      <c r="D148" s="2" t="s">
        <v>54</v>
      </c>
      <c r="E148" s="2" t="s">
        <v>20</v>
      </c>
      <c r="F148" s="2" t="s">
        <v>153</v>
      </c>
      <c r="G148" s="2">
        <v>18</v>
      </c>
      <c r="H148" s="2" t="s">
        <v>278</v>
      </c>
      <c r="I148" s="2">
        <v>50400</v>
      </c>
      <c r="J148" s="2">
        <v>1</v>
      </c>
      <c r="K148" s="2" t="s">
        <v>28</v>
      </c>
    </row>
    <row r="149" spans="1:11" x14ac:dyDescent="0.35">
      <c r="A149" s="4" t="s">
        <v>279</v>
      </c>
      <c r="B149" s="4" t="s">
        <v>280</v>
      </c>
      <c r="C149" s="4" t="s">
        <v>30</v>
      </c>
      <c r="D149" s="4" t="s">
        <v>132</v>
      </c>
      <c r="E149" s="4" t="s">
        <v>20</v>
      </c>
      <c r="F149" s="4" t="s">
        <v>36</v>
      </c>
      <c r="G149" s="4">
        <v>17</v>
      </c>
      <c r="H149" s="4">
        <v>900</v>
      </c>
      <c r="I149" s="4">
        <v>15300</v>
      </c>
      <c r="J149" s="4">
        <v>1</v>
      </c>
      <c r="K149" s="4" t="s">
        <v>122</v>
      </c>
    </row>
    <row r="150" spans="1:11" x14ac:dyDescent="0.35">
      <c r="A150" s="2" t="s">
        <v>281</v>
      </c>
      <c r="B150" s="2" t="s">
        <v>282</v>
      </c>
      <c r="C150" s="2" t="s">
        <v>40</v>
      </c>
      <c r="D150" s="2" t="s">
        <v>13</v>
      </c>
      <c r="E150" s="2" t="s">
        <v>20</v>
      </c>
      <c r="F150" s="2" t="s">
        <v>133</v>
      </c>
      <c r="G150" s="2">
        <v>121</v>
      </c>
      <c r="H150" s="2">
        <v>1200</v>
      </c>
      <c r="I150" s="2">
        <v>145200</v>
      </c>
      <c r="J150" s="2">
        <v>1</v>
      </c>
      <c r="K150" s="2" t="s">
        <v>85</v>
      </c>
    </row>
    <row r="151" spans="1:11" x14ac:dyDescent="0.35">
      <c r="A151" s="4" t="s">
        <v>283</v>
      </c>
      <c r="B151" s="5">
        <v>45523</v>
      </c>
      <c r="C151" s="4" t="s">
        <v>118</v>
      </c>
      <c r="D151" s="4" t="s">
        <v>13</v>
      </c>
      <c r="E151" s="4" t="s">
        <v>31</v>
      </c>
      <c r="F151" s="4" t="s">
        <v>45</v>
      </c>
      <c r="G151" s="4">
        <v>44</v>
      </c>
      <c r="H151" s="4">
        <v>1200</v>
      </c>
      <c r="I151" s="4">
        <v>52800</v>
      </c>
      <c r="J151" s="4">
        <v>0</v>
      </c>
      <c r="K151" s="4" t="s">
        <v>22</v>
      </c>
    </row>
    <row r="152" spans="1:11" x14ac:dyDescent="0.35">
      <c r="A152" s="2" t="s">
        <v>284</v>
      </c>
      <c r="B152" s="3">
        <v>45340</v>
      </c>
      <c r="C152" s="2" t="s">
        <v>96</v>
      </c>
      <c r="D152" s="2" t="s">
        <v>54</v>
      </c>
      <c r="E152" s="2" t="s">
        <v>31</v>
      </c>
      <c r="F152" s="2" t="s">
        <v>55</v>
      </c>
      <c r="G152" s="2">
        <v>98</v>
      </c>
      <c r="H152" s="2">
        <v>1100</v>
      </c>
      <c r="I152" s="2">
        <v>107800</v>
      </c>
      <c r="J152" s="2">
        <v>9</v>
      </c>
      <c r="K152" s="2" t="s">
        <v>122</v>
      </c>
    </row>
    <row r="153" spans="1:11" x14ac:dyDescent="0.35">
      <c r="A153" s="4" t="s">
        <v>285</v>
      </c>
      <c r="B153" s="4" t="s">
        <v>286</v>
      </c>
      <c r="C153" s="4" t="s">
        <v>69</v>
      </c>
      <c r="D153" s="4" t="s">
        <v>93</v>
      </c>
      <c r="E153" s="4" t="s">
        <v>20</v>
      </c>
      <c r="F153" s="4" t="s">
        <v>97</v>
      </c>
      <c r="G153" s="4">
        <v>18</v>
      </c>
      <c r="H153" s="4">
        <v>500</v>
      </c>
      <c r="I153" s="4">
        <v>9000</v>
      </c>
      <c r="J153" s="4">
        <v>0</v>
      </c>
      <c r="K153" s="4" t="s">
        <v>85</v>
      </c>
    </row>
    <row r="154" spans="1:11" x14ac:dyDescent="0.35">
      <c r="A154" s="2" t="s">
        <v>287</v>
      </c>
      <c r="B154" s="2" t="s">
        <v>288</v>
      </c>
      <c r="C154" s="2" t="s">
        <v>64</v>
      </c>
      <c r="D154" s="2" t="s">
        <v>65</v>
      </c>
      <c r="E154" s="2" t="s">
        <v>31</v>
      </c>
      <c r="F154" s="2" t="s">
        <v>58</v>
      </c>
      <c r="G154" s="2">
        <v>167</v>
      </c>
      <c r="H154" s="2">
        <v>850</v>
      </c>
      <c r="I154" s="2">
        <v>141950</v>
      </c>
      <c r="J154" s="2">
        <v>16</v>
      </c>
      <c r="K154" s="2" t="s">
        <v>46</v>
      </c>
    </row>
    <row r="155" spans="1:11" x14ac:dyDescent="0.35">
      <c r="A155" s="4" t="s">
        <v>289</v>
      </c>
      <c r="B155" s="5">
        <v>45623</v>
      </c>
      <c r="C155" s="4" t="s">
        <v>30</v>
      </c>
      <c r="D155" s="4" t="s">
        <v>65</v>
      </c>
      <c r="E155" s="4" t="s">
        <v>20</v>
      </c>
      <c r="F155" s="4" t="s">
        <v>133</v>
      </c>
      <c r="G155" s="4">
        <v>69</v>
      </c>
      <c r="H155" s="4">
        <v>1200</v>
      </c>
      <c r="I155" s="4"/>
      <c r="J155" s="4">
        <v>2</v>
      </c>
      <c r="K155" s="4" t="s">
        <v>122</v>
      </c>
    </row>
    <row r="156" spans="1:11" x14ac:dyDescent="0.35">
      <c r="A156" s="2" t="s">
        <v>290</v>
      </c>
      <c r="B156" s="2" t="s">
        <v>291</v>
      </c>
      <c r="C156" s="2" t="s">
        <v>40</v>
      </c>
      <c r="D156" s="2" t="s">
        <v>35</v>
      </c>
      <c r="E156" s="2" t="s">
        <v>31</v>
      </c>
      <c r="F156" s="2" t="s">
        <v>32</v>
      </c>
      <c r="G156" s="2">
        <v>81</v>
      </c>
      <c r="H156" s="2">
        <v>1400</v>
      </c>
      <c r="I156" s="2">
        <v>113400</v>
      </c>
      <c r="J156" s="2">
        <v>6</v>
      </c>
      <c r="K156" s="2" t="s">
        <v>33</v>
      </c>
    </row>
    <row r="157" spans="1:11" x14ac:dyDescent="0.35">
      <c r="A157" s="4" t="s">
        <v>292</v>
      </c>
      <c r="B157" s="5">
        <v>45560</v>
      </c>
      <c r="C157" s="4" t="s">
        <v>64</v>
      </c>
      <c r="D157" s="4" t="s">
        <v>13</v>
      </c>
      <c r="E157" s="4" t="s">
        <v>14</v>
      </c>
      <c r="F157" s="4" t="s">
        <v>61</v>
      </c>
      <c r="G157" s="4">
        <v>97</v>
      </c>
      <c r="H157" s="4"/>
      <c r="I157" s="4">
        <v>213400</v>
      </c>
      <c r="J157" s="4">
        <v>0</v>
      </c>
      <c r="K157" s="4" t="s">
        <v>33</v>
      </c>
    </row>
    <row r="158" spans="1:11" x14ac:dyDescent="0.35">
      <c r="A158" s="2" t="s">
        <v>293</v>
      </c>
      <c r="B158" s="3">
        <v>45299</v>
      </c>
      <c r="C158" s="2" t="s">
        <v>88</v>
      </c>
      <c r="D158" s="2" t="s">
        <v>65</v>
      </c>
      <c r="E158" s="2" t="s">
        <v>20</v>
      </c>
      <c r="F158" s="2" t="s">
        <v>36</v>
      </c>
      <c r="G158" s="2">
        <v>67</v>
      </c>
      <c r="H158" s="2">
        <v>900</v>
      </c>
      <c r="I158" s="2">
        <v>60300</v>
      </c>
      <c r="J158" s="2">
        <v>0</v>
      </c>
      <c r="K158" s="2" t="s">
        <v>22</v>
      </c>
    </row>
    <row r="159" spans="1:11" x14ac:dyDescent="0.35">
      <c r="A159" s="4" t="s">
        <v>294</v>
      </c>
      <c r="B159" s="5">
        <v>45624</v>
      </c>
      <c r="C159" s="4" t="s">
        <v>74</v>
      </c>
      <c r="D159" s="4" t="s">
        <v>54</v>
      </c>
      <c r="E159" s="4" t="s">
        <v>31</v>
      </c>
      <c r="F159" s="4" t="s">
        <v>55</v>
      </c>
      <c r="G159" s="4">
        <v>-125</v>
      </c>
      <c r="H159" s="4">
        <v>1100</v>
      </c>
      <c r="I159" s="4">
        <v>137500</v>
      </c>
      <c r="J159" s="4">
        <v>0</v>
      </c>
      <c r="K159" s="4" t="s">
        <v>16</v>
      </c>
    </row>
    <row r="160" spans="1:11" x14ac:dyDescent="0.35">
      <c r="A160" s="2" t="s">
        <v>295</v>
      </c>
      <c r="B160" s="3">
        <v>45351</v>
      </c>
      <c r="C160" s="2" t="s">
        <v>109</v>
      </c>
      <c r="D160" s="2" t="s">
        <v>79</v>
      </c>
      <c r="E160" s="2" t="s">
        <v>14</v>
      </c>
      <c r="F160" s="2" t="s">
        <v>72</v>
      </c>
      <c r="G160" s="2">
        <v>72</v>
      </c>
      <c r="H160" s="2">
        <v>400</v>
      </c>
      <c r="I160" s="2">
        <v>28800</v>
      </c>
      <c r="J160" s="2">
        <v>5</v>
      </c>
      <c r="K160" s="2" t="s">
        <v>37</v>
      </c>
    </row>
    <row r="161" spans="1:11" x14ac:dyDescent="0.35">
      <c r="A161" s="4" t="s">
        <v>296</v>
      </c>
      <c r="B161" s="4" t="s">
        <v>297</v>
      </c>
      <c r="C161" s="4" t="s">
        <v>60</v>
      </c>
      <c r="D161" s="4" t="s">
        <v>41</v>
      </c>
      <c r="E161" s="4" t="s">
        <v>31</v>
      </c>
      <c r="F161" s="4" t="s">
        <v>58</v>
      </c>
      <c r="G161" s="4">
        <v>140</v>
      </c>
      <c r="H161" s="4">
        <v>850</v>
      </c>
      <c r="I161" s="4">
        <v>119000</v>
      </c>
      <c r="J161" s="4">
        <v>0</v>
      </c>
      <c r="K161" s="4" t="s">
        <v>85</v>
      </c>
    </row>
    <row r="162" spans="1:11" x14ac:dyDescent="0.35">
      <c r="A162" s="2" t="s">
        <v>298</v>
      </c>
      <c r="B162" s="3">
        <v>45587</v>
      </c>
      <c r="C162" s="2" t="s">
        <v>25</v>
      </c>
      <c r="D162" s="2" t="s">
        <v>19</v>
      </c>
      <c r="E162" s="2" t="s">
        <v>31</v>
      </c>
      <c r="F162" s="2" t="s">
        <v>81</v>
      </c>
      <c r="G162" s="2">
        <v>51</v>
      </c>
      <c r="H162" s="2">
        <v>650</v>
      </c>
      <c r="I162" s="2">
        <v>33150</v>
      </c>
      <c r="J162" s="2">
        <v>4</v>
      </c>
      <c r="K162" s="2" t="s">
        <v>28</v>
      </c>
    </row>
    <row r="163" spans="1:11" x14ac:dyDescent="0.35">
      <c r="A163" s="4" t="s">
        <v>299</v>
      </c>
      <c r="B163" s="5">
        <v>45585</v>
      </c>
      <c r="C163" s="4" t="s">
        <v>74</v>
      </c>
      <c r="D163" s="4" t="s">
        <v>65</v>
      </c>
      <c r="E163" s="4" t="s">
        <v>20</v>
      </c>
      <c r="F163" s="4" t="s">
        <v>21</v>
      </c>
      <c r="G163" s="4">
        <v>190</v>
      </c>
      <c r="H163" s="4">
        <v>3500</v>
      </c>
      <c r="I163" s="4">
        <v>665000</v>
      </c>
      <c r="J163" s="4">
        <v>9</v>
      </c>
      <c r="K163" s="4" t="s">
        <v>42</v>
      </c>
    </row>
    <row r="164" spans="1:11" x14ac:dyDescent="0.35">
      <c r="A164" s="2" t="s">
        <v>300</v>
      </c>
      <c r="B164" s="3">
        <v>45383</v>
      </c>
      <c r="C164" s="2" t="s">
        <v>64</v>
      </c>
      <c r="D164" s="2" t="s">
        <v>35</v>
      </c>
      <c r="E164" s="2" t="s">
        <v>20</v>
      </c>
      <c r="F164" s="2" t="s">
        <v>153</v>
      </c>
      <c r="G164" s="2">
        <v>160</v>
      </c>
      <c r="H164" s="2">
        <v>2800</v>
      </c>
      <c r="I164" s="2">
        <v>448000</v>
      </c>
      <c r="J164" s="2">
        <v>16</v>
      </c>
      <c r="K164" s="2" t="s">
        <v>33</v>
      </c>
    </row>
    <row r="165" spans="1:11" x14ac:dyDescent="0.35">
      <c r="A165" s="4" t="s">
        <v>301</v>
      </c>
      <c r="B165" s="5">
        <v>45354</v>
      </c>
      <c r="C165" s="4" t="s">
        <v>96</v>
      </c>
      <c r="D165" s="4" t="s">
        <v>49</v>
      </c>
      <c r="E165" s="4" t="s">
        <v>20</v>
      </c>
      <c r="F165" s="4" t="s">
        <v>97</v>
      </c>
      <c r="G165" s="4">
        <v>107</v>
      </c>
      <c r="H165" s="4">
        <v>500</v>
      </c>
      <c r="I165" s="4">
        <v>53500</v>
      </c>
      <c r="J165" s="4">
        <v>5</v>
      </c>
      <c r="K165" s="4" t="s">
        <v>16</v>
      </c>
    </row>
    <row r="166" spans="1:11" x14ac:dyDescent="0.35">
      <c r="A166" s="2" t="s">
        <v>302</v>
      </c>
      <c r="B166" s="3">
        <v>45535</v>
      </c>
      <c r="C166" s="2" t="s">
        <v>30</v>
      </c>
      <c r="D166" s="2" t="s">
        <v>93</v>
      </c>
      <c r="E166" s="2" t="s">
        <v>31</v>
      </c>
      <c r="F166" s="2" t="s">
        <v>89</v>
      </c>
      <c r="G166" s="2">
        <v>72</v>
      </c>
      <c r="H166" s="2">
        <v>900</v>
      </c>
      <c r="I166" s="2">
        <v>64800</v>
      </c>
      <c r="J166" s="2">
        <v>4</v>
      </c>
      <c r="K166" s="2" t="s">
        <v>22</v>
      </c>
    </row>
    <row r="167" spans="1:11" x14ac:dyDescent="0.35">
      <c r="A167" s="4" t="s">
        <v>303</v>
      </c>
      <c r="B167" s="4" t="s">
        <v>304</v>
      </c>
      <c r="C167" s="4" t="s">
        <v>156</v>
      </c>
      <c r="D167" s="4" t="s">
        <v>65</v>
      </c>
      <c r="E167" s="4" t="s">
        <v>31</v>
      </c>
      <c r="F167" s="4" t="s">
        <v>32</v>
      </c>
      <c r="G167" s="4">
        <v>53</v>
      </c>
      <c r="H167" s="4">
        <v>1400</v>
      </c>
      <c r="I167" s="4">
        <v>74200</v>
      </c>
      <c r="J167" s="4">
        <v>3</v>
      </c>
      <c r="K167" s="4" t="s">
        <v>37</v>
      </c>
    </row>
    <row r="168" spans="1:11" x14ac:dyDescent="0.35">
      <c r="A168" s="2" t="s">
        <v>305</v>
      </c>
      <c r="B168" s="3">
        <v>45538</v>
      </c>
      <c r="C168" s="2" t="s">
        <v>12</v>
      </c>
      <c r="D168" s="2" t="s">
        <v>79</v>
      </c>
      <c r="E168" s="2" t="s">
        <v>14</v>
      </c>
      <c r="F168" s="2" t="s">
        <v>171</v>
      </c>
      <c r="G168" s="2">
        <v>101</v>
      </c>
      <c r="H168" s="2">
        <v>700</v>
      </c>
      <c r="I168" s="2">
        <v>70700</v>
      </c>
      <c r="J168" s="2">
        <v>8</v>
      </c>
      <c r="K168" s="2" t="s">
        <v>28</v>
      </c>
    </row>
    <row r="169" spans="1:11" x14ac:dyDescent="0.35">
      <c r="A169" s="4" t="s">
        <v>306</v>
      </c>
      <c r="B169" s="5">
        <v>45434</v>
      </c>
      <c r="C169" s="4" t="s">
        <v>60</v>
      </c>
      <c r="D169" s="4" t="s">
        <v>93</v>
      </c>
      <c r="E169" s="4" t="s">
        <v>20</v>
      </c>
      <c r="F169" s="4" t="s">
        <v>36</v>
      </c>
      <c r="G169" s="4">
        <v>108</v>
      </c>
      <c r="H169" s="4">
        <v>900</v>
      </c>
      <c r="I169" s="4">
        <v>97200</v>
      </c>
      <c r="J169" s="4">
        <v>1</v>
      </c>
      <c r="K169" s="4" t="s">
        <v>28</v>
      </c>
    </row>
    <row r="170" spans="1:11" x14ac:dyDescent="0.35">
      <c r="A170" s="2" t="s">
        <v>307</v>
      </c>
      <c r="B170" s="2" t="s">
        <v>308</v>
      </c>
      <c r="C170" s="2" t="s">
        <v>12</v>
      </c>
      <c r="D170" s="2" t="s">
        <v>35</v>
      </c>
      <c r="E170" s="2" t="s">
        <v>20</v>
      </c>
      <c r="F170" s="2" t="s">
        <v>36</v>
      </c>
      <c r="G170" s="2">
        <v>101</v>
      </c>
      <c r="H170" s="2">
        <v>900</v>
      </c>
      <c r="I170" s="2">
        <v>90900</v>
      </c>
      <c r="J170" s="2">
        <v>7</v>
      </c>
      <c r="K170" s="2" t="s">
        <v>28</v>
      </c>
    </row>
    <row r="171" spans="1:11" x14ac:dyDescent="0.35">
      <c r="A171" s="4" t="s">
        <v>309</v>
      </c>
      <c r="B171" s="5">
        <v>45330</v>
      </c>
      <c r="C171" s="4" t="s">
        <v>40</v>
      </c>
      <c r="D171" s="4" t="s">
        <v>93</v>
      </c>
      <c r="E171" s="4" t="s">
        <v>20</v>
      </c>
      <c r="F171" s="4" t="s">
        <v>52</v>
      </c>
      <c r="G171" s="4">
        <v>13</v>
      </c>
      <c r="H171" s="4">
        <v>450</v>
      </c>
      <c r="I171" s="4">
        <v>4500.4374676898833</v>
      </c>
      <c r="J171" s="4">
        <v>0</v>
      </c>
      <c r="K171" s="4" t="s">
        <v>122</v>
      </c>
    </row>
    <row r="172" spans="1:11" x14ac:dyDescent="0.35">
      <c r="A172" s="2" t="s">
        <v>310</v>
      </c>
      <c r="B172" s="3">
        <v>45626</v>
      </c>
      <c r="C172" s="2" t="s">
        <v>106</v>
      </c>
      <c r="D172" s="2" t="s">
        <v>54</v>
      </c>
      <c r="E172" s="2" t="s">
        <v>31</v>
      </c>
      <c r="F172" s="2" t="s">
        <v>45</v>
      </c>
      <c r="G172" s="2">
        <v>89</v>
      </c>
      <c r="H172" s="2">
        <v>1200</v>
      </c>
      <c r="I172" s="2">
        <v>106800</v>
      </c>
      <c r="J172" s="2">
        <v>8</v>
      </c>
      <c r="K172" s="2" t="s">
        <v>42</v>
      </c>
    </row>
    <row r="173" spans="1:11" x14ac:dyDescent="0.35">
      <c r="A173" s="4" t="s">
        <v>311</v>
      </c>
      <c r="B173" s="4" t="s">
        <v>312</v>
      </c>
      <c r="C173" s="4" t="s">
        <v>313</v>
      </c>
      <c r="D173" s="4" t="s">
        <v>35</v>
      </c>
      <c r="E173" s="4" t="s">
        <v>14</v>
      </c>
      <c r="F173" s="4" t="s">
        <v>72</v>
      </c>
      <c r="G173" s="4">
        <v>171</v>
      </c>
      <c r="H173" s="4">
        <v>400</v>
      </c>
      <c r="I173" s="4">
        <v>68400</v>
      </c>
      <c r="J173" s="4">
        <v>0</v>
      </c>
      <c r="K173" s="4" t="s">
        <v>16</v>
      </c>
    </row>
    <row r="174" spans="1:11" x14ac:dyDescent="0.35">
      <c r="A174" s="2" t="s">
        <v>314</v>
      </c>
      <c r="B174" s="3">
        <v>45635</v>
      </c>
      <c r="C174" s="2" t="s">
        <v>25</v>
      </c>
      <c r="D174" s="2" t="s">
        <v>315</v>
      </c>
      <c r="E174" s="2" t="s">
        <v>31</v>
      </c>
      <c r="F174" s="2" t="s">
        <v>159</v>
      </c>
      <c r="G174" s="2">
        <v>122</v>
      </c>
      <c r="H174" s="2">
        <v>1800</v>
      </c>
      <c r="I174" s="2">
        <v>219600</v>
      </c>
      <c r="J174" s="2">
        <v>8</v>
      </c>
      <c r="K174" s="2" t="s">
        <v>42</v>
      </c>
    </row>
    <row r="175" spans="1:11" x14ac:dyDescent="0.35">
      <c r="A175" s="4" t="s">
        <v>316</v>
      </c>
      <c r="B175" s="4" t="s">
        <v>317</v>
      </c>
      <c r="C175" s="4" t="s">
        <v>92</v>
      </c>
      <c r="D175" s="4" t="s">
        <v>93</v>
      </c>
      <c r="E175" s="4" t="s">
        <v>20</v>
      </c>
      <c r="F175" s="4" t="s">
        <v>97</v>
      </c>
      <c r="G175" s="4">
        <v>23</v>
      </c>
      <c r="H175" s="4">
        <v>500</v>
      </c>
      <c r="I175" s="4">
        <v>11500</v>
      </c>
      <c r="J175" s="4">
        <v>0</v>
      </c>
      <c r="K175" s="4" t="s">
        <v>22</v>
      </c>
    </row>
    <row r="176" spans="1:11" x14ac:dyDescent="0.35">
      <c r="A176" s="2" t="s">
        <v>318</v>
      </c>
      <c r="B176" s="2" t="s">
        <v>319</v>
      </c>
      <c r="C176" s="2" t="s">
        <v>60</v>
      </c>
      <c r="D176" s="2" t="s">
        <v>35</v>
      </c>
      <c r="E176" s="2" t="s">
        <v>20</v>
      </c>
      <c r="F176" s="2" t="s">
        <v>133</v>
      </c>
      <c r="G176" s="2">
        <v>168</v>
      </c>
      <c r="H176" s="2">
        <v>1200</v>
      </c>
      <c r="I176" s="2">
        <v>201600</v>
      </c>
      <c r="J176" s="2">
        <v>7</v>
      </c>
      <c r="K176" s="2" t="s">
        <v>16</v>
      </c>
    </row>
    <row r="177" spans="1:11" x14ac:dyDescent="0.35">
      <c r="A177" s="4" t="s">
        <v>320</v>
      </c>
      <c r="B177" s="5">
        <v>45540</v>
      </c>
      <c r="C177" s="4" t="s">
        <v>64</v>
      </c>
      <c r="D177" s="4" t="s">
        <v>79</v>
      </c>
      <c r="E177" s="4" t="s">
        <v>20</v>
      </c>
      <c r="F177" s="4" t="s">
        <v>153</v>
      </c>
      <c r="G177" s="4">
        <v>178</v>
      </c>
      <c r="H177" s="4">
        <v>2800</v>
      </c>
      <c r="I177" s="4">
        <v>498400</v>
      </c>
      <c r="J177" s="4">
        <v>2</v>
      </c>
      <c r="K177" s="4" t="s">
        <v>62</v>
      </c>
    </row>
    <row r="178" spans="1:11" x14ac:dyDescent="0.35">
      <c r="A178" s="2" t="s">
        <v>321</v>
      </c>
      <c r="B178" s="2" t="s">
        <v>322</v>
      </c>
      <c r="C178" s="2" t="s">
        <v>106</v>
      </c>
      <c r="D178" s="2" t="s">
        <v>13</v>
      </c>
      <c r="E178" s="2" t="s">
        <v>14</v>
      </c>
      <c r="F178" s="2" t="s">
        <v>15</v>
      </c>
      <c r="G178" s="2">
        <v>76</v>
      </c>
      <c r="H178" s="2"/>
      <c r="I178" s="2">
        <v>91200</v>
      </c>
      <c r="J178" s="2">
        <v>5</v>
      </c>
      <c r="K178" s="2" t="s">
        <v>42</v>
      </c>
    </row>
    <row r="179" spans="1:11" x14ac:dyDescent="0.35">
      <c r="A179" s="4" t="s">
        <v>323</v>
      </c>
      <c r="B179" s="4" t="s">
        <v>324</v>
      </c>
      <c r="C179" s="4" t="s">
        <v>74</v>
      </c>
      <c r="D179" s="4" t="s">
        <v>93</v>
      </c>
      <c r="E179" s="4" t="s">
        <v>14</v>
      </c>
      <c r="F179" s="4" t="s">
        <v>70</v>
      </c>
      <c r="G179" s="4">
        <v>155</v>
      </c>
      <c r="H179" s="4">
        <v>1800</v>
      </c>
      <c r="I179" s="4">
        <v>279000</v>
      </c>
      <c r="J179" s="4">
        <v>0</v>
      </c>
      <c r="K179" s="4" t="s">
        <v>122</v>
      </c>
    </row>
    <row r="180" spans="1:11" x14ac:dyDescent="0.35">
      <c r="A180" s="2" t="s">
        <v>325</v>
      </c>
      <c r="B180" s="2" t="s">
        <v>326</v>
      </c>
      <c r="C180" s="2" t="s">
        <v>74</v>
      </c>
      <c r="D180" s="2" t="s">
        <v>130</v>
      </c>
      <c r="E180" s="2" t="s">
        <v>31</v>
      </c>
      <c r="F180" s="2" t="s">
        <v>121</v>
      </c>
      <c r="G180" s="2">
        <v>77</v>
      </c>
      <c r="H180" s="2">
        <v>200</v>
      </c>
      <c r="I180" s="2">
        <v>15400</v>
      </c>
      <c r="J180" s="2">
        <v>3</v>
      </c>
      <c r="K180" s="2" t="s">
        <v>33</v>
      </c>
    </row>
    <row r="181" spans="1:11" x14ac:dyDescent="0.35">
      <c r="A181" s="4" t="s">
        <v>327</v>
      </c>
      <c r="B181" s="4" t="s">
        <v>328</v>
      </c>
      <c r="C181" s="4" t="s">
        <v>83</v>
      </c>
      <c r="D181" s="4" t="s">
        <v>26</v>
      </c>
      <c r="E181" s="4" t="s">
        <v>20</v>
      </c>
      <c r="F181" s="4" t="s">
        <v>52</v>
      </c>
      <c r="G181" s="4">
        <v>102</v>
      </c>
      <c r="H181" s="4">
        <v>450</v>
      </c>
      <c r="I181" s="4">
        <v>45900</v>
      </c>
      <c r="J181" s="4">
        <v>5</v>
      </c>
      <c r="K181" s="4" t="s">
        <v>85</v>
      </c>
    </row>
    <row r="182" spans="1:11" x14ac:dyDescent="0.35">
      <c r="A182" s="2" t="s">
        <v>329</v>
      </c>
      <c r="B182" s="2" t="s">
        <v>330</v>
      </c>
      <c r="C182" s="2" t="s">
        <v>18</v>
      </c>
      <c r="D182" s="2" t="s">
        <v>13</v>
      </c>
      <c r="E182" s="2" t="s">
        <v>31</v>
      </c>
      <c r="F182" s="2" t="s">
        <v>58</v>
      </c>
      <c r="G182" s="2">
        <v>73</v>
      </c>
      <c r="H182" s="2"/>
      <c r="I182" s="2">
        <v>62050</v>
      </c>
      <c r="J182" s="2">
        <v>4</v>
      </c>
      <c r="K182" s="2" t="s">
        <v>28</v>
      </c>
    </row>
    <row r="183" spans="1:11" x14ac:dyDescent="0.35">
      <c r="A183" s="4" t="s">
        <v>331</v>
      </c>
      <c r="B183" s="5">
        <v>45639</v>
      </c>
      <c r="C183" s="4" t="s">
        <v>51</v>
      </c>
      <c r="D183" s="4" t="s">
        <v>26</v>
      </c>
      <c r="E183" s="4" t="s">
        <v>31</v>
      </c>
      <c r="F183" s="4" t="s">
        <v>121</v>
      </c>
      <c r="G183" s="4">
        <v>95</v>
      </c>
      <c r="H183" s="4">
        <v>200</v>
      </c>
      <c r="I183" s="4">
        <v>19000</v>
      </c>
      <c r="J183" s="4">
        <v>6</v>
      </c>
      <c r="K183" s="4" t="s">
        <v>85</v>
      </c>
    </row>
    <row r="184" spans="1:11" x14ac:dyDescent="0.35">
      <c r="A184" s="2" t="s">
        <v>332</v>
      </c>
      <c r="B184" s="3">
        <v>45403</v>
      </c>
      <c r="C184" s="2" t="s">
        <v>125</v>
      </c>
      <c r="D184" s="2" t="s">
        <v>13</v>
      </c>
      <c r="E184" s="2" t="s">
        <v>20</v>
      </c>
      <c r="F184" s="2" t="s">
        <v>21</v>
      </c>
      <c r="G184" s="2">
        <v>9</v>
      </c>
      <c r="H184" s="2">
        <v>3500</v>
      </c>
      <c r="I184" s="2">
        <v>31500</v>
      </c>
      <c r="J184" s="2">
        <v>0</v>
      </c>
      <c r="K184" s="2" t="s">
        <v>28</v>
      </c>
    </row>
    <row r="185" spans="1:11" x14ac:dyDescent="0.35">
      <c r="A185" s="4" t="s">
        <v>333</v>
      </c>
      <c r="B185" s="5">
        <v>45441</v>
      </c>
      <c r="C185" s="4" t="s">
        <v>40</v>
      </c>
      <c r="D185" s="4" t="s">
        <v>19</v>
      </c>
      <c r="E185" s="4" t="s">
        <v>14</v>
      </c>
      <c r="F185" s="4" t="s">
        <v>70</v>
      </c>
      <c r="G185" s="4">
        <v>67</v>
      </c>
      <c r="H185" s="4">
        <v>1800</v>
      </c>
      <c r="I185" s="4">
        <v>120600</v>
      </c>
      <c r="J185" s="4">
        <v>5</v>
      </c>
      <c r="K185" s="4" t="s">
        <v>37</v>
      </c>
    </row>
    <row r="186" spans="1:11" x14ac:dyDescent="0.35">
      <c r="A186" s="2" t="s">
        <v>334</v>
      </c>
      <c r="B186" s="3">
        <v>45546</v>
      </c>
      <c r="C186" s="2" t="s">
        <v>88</v>
      </c>
      <c r="D186" s="2"/>
      <c r="E186" s="2" t="s">
        <v>20</v>
      </c>
      <c r="F186" s="2" t="s">
        <v>133</v>
      </c>
      <c r="G186" s="2">
        <v>96</v>
      </c>
      <c r="H186" s="2">
        <v>1200</v>
      </c>
      <c r="I186" s="2">
        <v>131934.08187400561</v>
      </c>
      <c r="J186" s="2">
        <v>0</v>
      </c>
      <c r="K186" s="2" t="s">
        <v>28</v>
      </c>
    </row>
    <row r="187" spans="1:11" x14ac:dyDescent="0.35">
      <c r="A187" s="4" t="s">
        <v>335</v>
      </c>
      <c r="B187" s="4" t="s">
        <v>336</v>
      </c>
      <c r="C187" s="4" t="s">
        <v>64</v>
      </c>
      <c r="D187" s="4" t="s">
        <v>19</v>
      </c>
      <c r="E187" s="4" t="s">
        <v>31</v>
      </c>
      <c r="F187" s="4" t="s">
        <v>45</v>
      </c>
      <c r="G187" s="4">
        <v>120</v>
      </c>
      <c r="H187" s="4">
        <v>1200</v>
      </c>
      <c r="I187" s="4">
        <v>144000</v>
      </c>
      <c r="J187" s="4">
        <v>0</v>
      </c>
      <c r="K187" s="4" t="s">
        <v>85</v>
      </c>
    </row>
    <row r="188" spans="1:11" x14ac:dyDescent="0.35">
      <c r="A188" s="2" t="s">
        <v>337</v>
      </c>
      <c r="B188" s="3">
        <v>45543</v>
      </c>
      <c r="C188" s="2" t="s">
        <v>44</v>
      </c>
      <c r="D188" s="2"/>
      <c r="E188" s="2" t="s">
        <v>31</v>
      </c>
      <c r="F188" s="2" t="s">
        <v>159</v>
      </c>
      <c r="G188" s="2">
        <v>52</v>
      </c>
      <c r="H188" s="2">
        <v>1800</v>
      </c>
      <c r="I188" s="2">
        <v>93600</v>
      </c>
      <c r="J188" s="2">
        <v>0</v>
      </c>
      <c r="K188" s="2" t="s">
        <v>62</v>
      </c>
    </row>
    <row r="189" spans="1:11" x14ac:dyDescent="0.35">
      <c r="A189" s="4" t="s">
        <v>338</v>
      </c>
      <c r="B189" s="5">
        <v>45437</v>
      </c>
      <c r="C189" s="4" t="s">
        <v>30</v>
      </c>
      <c r="D189" s="4" t="s">
        <v>41</v>
      </c>
      <c r="E189" s="4" t="s">
        <v>31</v>
      </c>
      <c r="F189" s="4" t="s">
        <v>55</v>
      </c>
      <c r="G189" s="4">
        <v>51</v>
      </c>
      <c r="H189" s="4">
        <v>1100</v>
      </c>
      <c r="I189" s="4">
        <v>56100</v>
      </c>
      <c r="J189" s="4">
        <v>1</v>
      </c>
      <c r="K189" s="4" t="s">
        <v>37</v>
      </c>
    </row>
    <row r="190" spans="1:11" x14ac:dyDescent="0.35">
      <c r="A190" s="2" t="s">
        <v>339</v>
      </c>
      <c r="B190" s="3">
        <v>45412</v>
      </c>
      <c r="C190" s="2" t="s">
        <v>109</v>
      </c>
      <c r="D190" s="2" t="s">
        <v>13</v>
      </c>
      <c r="E190" s="2" t="s">
        <v>31</v>
      </c>
      <c r="F190" s="2" t="s">
        <v>81</v>
      </c>
      <c r="G190" s="2">
        <v>126</v>
      </c>
      <c r="H190" s="2">
        <v>650</v>
      </c>
      <c r="I190" s="2">
        <v>81900</v>
      </c>
      <c r="J190" s="2">
        <v>10</v>
      </c>
      <c r="K190" s="2" t="s">
        <v>85</v>
      </c>
    </row>
    <row r="191" spans="1:11" x14ac:dyDescent="0.35">
      <c r="A191" s="4" t="s">
        <v>340</v>
      </c>
      <c r="B191" s="5">
        <v>45593</v>
      </c>
      <c r="C191" s="4" t="s">
        <v>51</v>
      </c>
      <c r="D191" s="4" t="s">
        <v>49</v>
      </c>
      <c r="E191" s="4" t="s">
        <v>20</v>
      </c>
      <c r="F191" s="4" t="s">
        <v>21</v>
      </c>
      <c r="G191" s="4">
        <v>86</v>
      </c>
      <c r="H191" s="4">
        <v>3500</v>
      </c>
      <c r="I191" s="4">
        <v>301000</v>
      </c>
      <c r="J191" s="4">
        <v>0</v>
      </c>
      <c r="K191" s="4" t="s">
        <v>37</v>
      </c>
    </row>
    <row r="192" spans="1:11" x14ac:dyDescent="0.35">
      <c r="A192" s="2" t="s">
        <v>341</v>
      </c>
      <c r="B192" s="3">
        <v>45470</v>
      </c>
      <c r="C192" s="2" t="s">
        <v>74</v>
      </c>
      <c r="D192" s="2" t="s">
        <v>93</v>
      </c>
      <c r="E192" s="2" t="s">
        <v>31</v>
      </c>
      <c r="F192" s="2" t="s">
        <v>89</v>
      </c>
      <c r="G192" s="2">
        <v>187</v>
      </c>
      <c r="H192" s="2">
        <v>900</v>
      </c>
      <c r="I192" s="2">
        <v>168300</v>
      </c>
      <c r="J192" s="2">
        <v>17</v>
      </c>
      <c r="K192" s="2" t="s">
        <v>28</v>
      </c>
    </row>
    <row r="193" spans="1:11" x14ac:dyDescent="0.35">
      <c r="A193" s="4" t="s">
        <v>342</v>
      </c>
      <c r="B193" s="5">
        <v>45370</v>
      </c>
      <c r="C193" s="4" t="s">
        <v>44</v>
      </c>
      <c r="D193" s="4" t="s">
        <v>35</v>
      </c>
      <c r="E193" s="4" t="s">
        <v>14</v>
      </c>
      <c r="F193" s="4" t="s">
        <v>72</v>
      </c>
      <c r="G193" s="4">
        <v>30</v>
      </c>
      <c r="H193" s="4">
        <v>400</v>
      </c>
      <c r="I193" s="4">
        <v>12000</v>
      </c>
      <c r="J193" s="4">
        <v>0</v>
      </c>
      <c r="K193" s="4" t="s">
        <v>16</v>
      </c>
    </row>
    <row r="194" spans="1:11" x14ac:dyDescent="0.35">
      <c r="A194" s="2" t="s">
        <v>343</v>
      </c>
      <c r="B194" s="3">
        <v>45320</v>
      </c>
      <c r="C194" s="2" t="s">
        <v>125</v>
      </c>
      <c r="D194" s="2" t="s">
        <v>13</v>
      </c>
      <c r="E194" s="2" t="s">
        <v>20</v>
      </c>
      <c r="F194" s="2" t="s">
        <v>153</v>
      </c>
      <c r="G194" s="2">
        <v>86</v>
      </c>
      <c r="H194" s="2">
        <v>2800</v>
      </c>
      <c r="I194" s="2">
        <v>240800</v>
      </c>
      <c r="J194" s="2">
        <v>0</v>
      </c>
      <c r="K194" s="2" t="s">
        <v>37</v>
      </c>
    </row>
    <row r="195" spans="1:11" x14ac:dyDescent="0.35">
      <c r="A195" s="4" t="s">
        <v>344</v>
      </c>
      <c r="B195" s="5">
        <v>45327</v>
      </c>
      <c r="C195" s="4" t="s">
        <v>25</v>
      </c>
      <c r="D195" s="4" t="s">
        <v>35</v>
      </c>
      <c r="E195" s="4" t="s">
        <v>14</v>
      </c>
      <c r="F195" s="4" t="s">
        <v>15</v>
      </c>
      <c r="G195" s="4">
        <v>98</v>
      </c>
      <c r="H195" s="4">
        <v>1200</v>
      </c>
      <c r="I195" s="4">
        <v>117600</v>
      </c>
      <c r="J195" s="4">
        <v>0</v>
      </c>
      <c r="K195" s="4" t="s">
        <v>46</v>
      </c>
    </row>
    <row r="196" spans="1:11" x14ac:dyDescent="0.35">
      <c r="A196" s="2" t="s">
        <v>345</v>
      </c>
      <c r="B196" s="3">
        <v>45472</v>
      </c>
      <c r="C196" s="2" t="s">
        <v>51</v>
      </c>
      <c r="D196" s="2" t="s">
        <v>79</v>
      </c>
      <c r="E196" s="2" t="s">
        <v>31</v>
      </c>
      <c r="F196" s="2" t="s">
        <v>159</v>
      </c>
      <c r="G196" s="2">
        <v>139</v>
      </c>
      <c r="H196" s="2" t="s">
        <v>107</v>
      </c>
      <c r="I196" s="2">
        <v>250200</v>
      </c>
      <c r="J196" s="2">
        <v>10</v>
      </c>
      <c r="K196" s="2" t="s">
        <v>33</v>
      </c>
    </row>
    <row r="197" spans="1:11" x14ac:dyDescent="0.35">
      <c r="A197" s="4" t="s">
        <v>346</v>
      </c>
      <c r="B197" s="4" t="s">
        <v>347</v>
      </c>
      <c r="C197" s="4" t="s">
        <v>96</v>
      </c>
      <c r="D197" s="4" t="s">
        <v>54</v>
      </c>
      <c r="E197" s="4" t="s">
        <v>31</v>
      </c>
      <c r="F197" s="4" t="s">
        <v>45</v>
      </c>
      <c r="G197" s="4">
        <v>25</v>
      </c>
      <c r="H197" s="4">
        <v>1200</v>
      </c>
      <c r="I197" s="4">
        <v>30000</v>
      </c>
      <c r="J197" s="4">
        <v>2</v>
      </c>
      <c r="K197" s="4" t="s">
        <v>33</v>
      </c>
    </row>
    <row r="198" spans="1:11" x14ac:dyDescent="0.35">
      <c r="A198" s="2" t="s">
        <v>348</v>
      </c>
      <c r="B198" s="3">
        <v>45526</v>
      </c>
      <c r="C198" s="2" t="s">
        <v>30</v>
      </c>
      <c r="D198" s="2" t="s">
        <v>65</v>
      </c>
      <c r="E198" s="2" t="s">
        <v>14</v>
      </c>
      <c r="F198" s="2" t="s">
        <v>99</v>
      </c>
      <c r="G198" s="2">
        <v>166</v>
      </c>
      <c r="H198" s="2">
        <v>1500</v>
      </c>
      <c r="I198" s="2">
        <v>270829.63008762128</v>
      </c>
      <c r="J198" s="2">
        <v>0</v>
      </c>
      <c r="K198" s="2" t="s">
        <v>37</v>
      </c>
    </row>
    <row r="199" spans="1:11" x14ac:dyDescent="0.35">
      <c r="A199" s="4" t="s">
        <v>349</v>
      </c>
      <c r="B199" s="4" t="s">
        <v>350</v>
      </c>
      <c r="C199" s="4" t="s">
        <v>156</v>
      </c>
      <c r="D199" s="4" t="s">
        <v>19</v>
      </c>
      <c r="E199" s="4" t="s">
        <v>14</v>
      </c>
      <c r="F199" s="4" t="s">
        <v>15</v>
      </c>
      <c r="G199" s="4">
        <v>194</v>
      </c>
      <c r="H199" s="4">
        <v>1200</v>
      </c>
      <c r="I199" s="4">
        <v>232800</v>
      </c>
      <c r="J199" s="4">
        <v>8</v>
      </c>
      <c r="K199" s="4" t="s">
        <v>28</v>
      </c>
    </row>
    <row r="200" spans="1:11" x14ac:dyDescent="0.35">
      <c r="A200" s="2" t="s">
        <v>351</v>
      </c>
      <c r="B200" s="2" t="s">
        <v>352</v>
      </c>
      <c r="C200" s="2" t="s">
        <v>64</v>
      </c>
      <c r="D200" s="2" t="s">
        <v>35</v>
      </c>
      <c r="E200" s="2" t="s">
        <v>14</v>
      </c>
      <c r="F200" s="2" t="s">
        <v>72</v>
      </c>
      <c r="G200" s="2">
        <v>119</v>
      </c>
      <c r="H200" s="2">
        <v>400</v>
      </c>
      <c r="I200" s="2">
        <v>47600</v>
      </c>
      <c r="J200" s="2">
        <v>3</v>
      </c>
      <c r="K200" s="2" t="s">
        <v>16</v>
      </c>
    </row>
    <row r="201" spans="1:11" x14ac:dyDescent="0.35">
      <c r="A201" s="4" t="s">
        <v>140</v>
      </c>
      <c r="B201" s="4" t="s">
        <v>141</v>
      </c>
      <c r="C201" s="4" t="s">
        <v>25</v>
      </c>
      <c r="D201" s="4" t="s">
        <v>142</v>
      </c>
      <c r="E201" s="4" t="s">
        <v>20</v>
      </c>
      <c r="F201" s="4" t="s">
        <v>133</v>
      </c>
      <c r="G201" s="4">
        <v>72</v>
      </c>
      <c r="H201" s="4">
        <v>1200</v>
      </c>
      <c r="I201" s="4">
        <v>86400</v>
      </c>
      <c r="J201" s="4">
        <v>6</v>
      </c>
      <c r="K201" s="4" t="s">
        <v>16</v>
      </c>
    </row>
    <row r="202" spans="1:11" x14ac:dyDescent="0.35">
      <c r="A202" s="2" t="s">
        <v>353</v>
      </c>
      <c r="B202" s="2" t="s">
        <v>354</v>
      </c>
      <c r="C202" s="2" t="s">
        <v>125</v>
      </c>
      <c r="D202" s="2" t="s">
        <v>54</v>
      </c>
      <c r="E202" s="2" t="s">
        <v>14</v>
      </c>
      <c r="F202" s="2" t="s">
        <v>27</v>
      </c>
      <c r="G202" s="2">
        <v>148</v>
      </c>
      <c r="H202" s="2">
        <v>1600</v>
      </c>
      <c r="I202" s="2">
        <v>236800</v>
      </c>
      <c r="J202" s="2">
        <v>4</v>
      </c>
      <c r="K202" s="2" t="s">
        <v>62</v>
      </c>
    </row>
    <row r="203" spans="1:11" x14ac:dyDescent="0.35">
      <c r="A203" s="4" t="s">
        <v>355</v>
      </c>
      <c r="B203" s="5">
        <v>45570</v>
      </c>
      <c r="C203" s="4" t="s">
        <v>88</v>
      </c>
      <c r="D203" s="4" t="s">
        <v>173</v>
      </c>
      <c r="E203" s="4" t="s">
        <v>20</v>
      </c>
      <c r="F203" s="4" t="s">
        <v>52</v>
      </c>
      <c r="G203" s="4">
        <v>6</v>
      </c>
      <c r="H203" s="4">
        <v>450</v>
      </c>
      <c r="I203" s="4">
        <v>3647.4568840192219</v>
      </c>
      <c r="J203" s="4">
        <v>1</v>
      </c>
      <c r="K203" s="4" t="s">
        <v>122</v>
      </c>
    </row>
    <row r="204" spans="1:11" x14ac:dyDescent="0.35">
      <c r="A204" s="2" t="s">
        <v>356</v>
      </c>
      <c r="B204" s="3">
        <v>45445</v>
      </c>
      <c r="C204" s="2" t="s">
        <v>74</v>
      </c>
      <c r="D204" s="2" t="s">
        <v>35</v>
      </c>
      <c r="E204" s="2" t="s">
        <v>31</v>
      </c>
      <c r="F204" s="2" t="s">
        <v>89</v>
      </c>
      <c r="G204" s="2">
        <v>80</v>
      </c>
      <c r="H204" s="2">
        <v>900</v>
      </c>
      <c r="I204" s="2">
        <v>72000</v>
      </c>
      <c r="J204" s="2">
        <v>8</v>
      </c>
      <c r="K204" s="2" t="s">
        <v>122</v>
      </c>
    </row>
    <row r="205" spans="1:11" x14ac:dyDescent="0.35">
      <c r="A205" s="4" t="s">
        <v>357</v>
      </c>
      <c r="B205" s="5">
        <v>45601</v>
      </c>
      <c r="C205" s="4" t="s">
        <v>40</v>
      </c>
      <c r="D205" s="4" t="s">
        <v>79</v>
      </c>
      <c r="E205" s="4" t="s">
        <v>14</v>
      </c>
      <c r="F205" s="4" t="s">
        <v>72</v>
      </c>
      <c r="G205" s="4">
        <v>155</v>
      </c>
      <c r="H205" s="4">
        <v>400</v>
      </c>
      <c r="I205" s="4">
        <v>62000</v>
      </c>
      <c r="J205" s="4">
        <v>4</v>
      </c>
      <c r="K205" s="4" t="s">
        <v>62</v>
      </c>
    </row>
    <row r="206" spans="1:11" x14ac:dyDescent="0.35">
      <c r="A206" s="2" t="s">
        <v>232</v>
      </c>
      <c r="B206" s="2" t="s">
        <v>233</v>
      </c>
      <c r="C206" s="2" t="s">
        <v>51</v>
      </c>
      <c r="D206" s="2" t="s">
        <v>13</v>
      </c>
      <c r="E206" s="2" t="s">
        <v>14</v>
      </c>
      <c r="F206" s="2" t="s">
        <v>70</v>
      </c>
      <c r="G206" s="2">
        <v>22</v>
      </c>
      <c r="H206" s="2">
        <v>1800</v>
      </c>
      <c r="I206" s="2">
        <v>39600</v>
      </c>
      <c r="J206" s="2">
        <v>0</v>
      </c>
      <c r="K206" s="2" t="s">
        <v>42</v>
      </c>
    </row>
    <row r="207" spans="1:11" x14ac:dyDescent="0.35">
      <c r="A207" s="4" t="s">
        <v>358</v>
      </c>
      <c r="B207" s="4" t="s">
        <v>359</v>
      </c>
      <c r="C207" s="4" t="s">
        <v>109</v>
      </c>
      <c r="D207" s="4" t="s">
        <v>41</v>
      </c>
      <c r="E207" s="4" t="s">
        <v>20</v>
      </c>
      <c r="F207" s="4" t="s">
        <v>21</v>
      </c>
      <c r="G207" s="4">
        <v>200</v>
      </c>
      <c r="H207" s="4">
        <v>3500</v>
      </c>
      <c r="I207" s="4">
        <v>700000</v>
      </c>
      <c r="J207" s="4">
        <v>0</v>
      </c>
      <c r="K207" s="4" t="s">
        <v>122</v>
      </c>
    </row>
    <row r="208" spans="1:11" x14ac:dyDescent="0.35">
      <c r="A208" s="2" t="s">
        <v>360</v>
      </c>
      <c r="B208" s="3">
        <v>45647</v>
      </c>
      <c r="C208" s="2" t="s">
        <v>64</v>
      </c>
      <c r="D208" s="2" t="s">
        <v>54</v>
      </c>
      <c r="E208" s="2" t="s">
        <v>31</v>
      </c>
      <c r="F208" s="2" t="s">
        <v>121</v>
      </c>
      <c r="G208" s="2">
        <v>55</v>
      </c>
      <c r="H208" s="2">
        <v>200</v>
      </c>
      <c r="I208" s="2">
        <v>11000</v>
      </c>
      <c r="J208" s="2">
        <v>0</v>
      </c>
      <c r="K208" s="2" t="s">
        <v>122</v>
      </c>
    </row>
    <row r="209" spans="1:11" x14ac:dyDescent="0.35">
      <c r="A209" s="4" t="s">
        <v>361</v>
      </c>
      <c r="B209" s="5">
        <v>45427</v>
      </c>
      <c r="C209" s="4" t="s">
        <v>69</v>
      </c>
      <c r="D209" s="4" t="s">
        <v>13</v>
      </c>
      <c r="E209" s="4" t="s">
        <v>20</v>
      </c>
      <c r="F209" s="4" t="s">
        <v>97</v>
      </c>
      <c r="G209" s="4">
        <v>104</v>
      </c>
      <c r="H209" s="4">
        <v>500</v>
      </c>
      <c r="I209" s="4">
        <v>92287.869267465721</v>
      </c>
      <c r="J209" s="4">
        <v>8</v>
      </c>
      <c r="K209" s="4" t="s">
        <v>42</v>
      </c>
    </row>
    <row r="210" spans="1:11" x14ac:dyDescent="0.35">
      <c r="A210" s="2" t="s">
        <v>362</v>
      </c>
      <c r="B210" s="2" t="s">
        <v>363</v>
      </c>
      <c r="C210" s="2" t="s">
        <v>156</v>
      </c>
      <c r="D210" s="2" t="s">
        <v>54</v>
      </c>
      <c r="E210" s="2" t="s">
        <v>20</v>
      </c>
      <c r="F210" s="2" t="s">
        <v>97</v>
      </c>
      <c r="G210" s="2">
        <v>106</v>
      </c>
      <c r="H210" s="2">
        <v>500</v>
      </c>
      <c r="I210" s="2">
        <v>81569.697335040706</v>
      </c>
      <c r="J210" s="2">
        <v>8</v>
      </c>
      <c r="K210" s="2" t="s">
        <v>33</v>
      </c>
    </row>
    <row r="211" spans="1:11" x14ac:dyDescent="0.35">
      <c r="A211" s="4" t="s">
        <v>364</v>
      </c>
      <c r="B211" s="4" t="s">
        <v>365</v>
      </c>
      <c r="C211" s="4" t="s">
        <v>366</v>
      </c>
      <c r="D211" s="4" t="s">
        <v>367</v>
      </c>
      <c r="E211" s="4" t="s">
        <v>14</v>
      </c>
      <c r="F211" s="4" t="s">
        <v>72</v>
      </c>
      <c r="G211" s="4">
        <v>187</v>
      </c>
      <c r="H211" s="4">
        <v>400</v>
      </c>
      <c r="I211" s="4">
        <v>74800</v>
      </c>
      <c r="J211" s="4">
        <v>0</v>
      </c>
      <c r="K211" s="4" t="s">
        <v>85</v>
      </c>
    </row>
    <row r="212" spans="1:11" x14ac:dyDescent="0.35">
      <c r="A212" s="2" t="s">
        <v>368</v>
      </c>
      <c r="B212" s="2" t="s">
        <v>369</v>
      </c>
      <c r="C212" s="2" t="s">
        <v>106</v>
      </c>
      <c r="D212" s="2" t="s">
        <v>54</v>
      </c>
      <c r="E212" s="2"/>
      <c r="F212" s="2" t="s">
        <v>153</v>
      </c>
      <c r="G212" s="2">
        <v>27</v>
      </c>
      <c r="H212" s="2">
        <v>2800</v>
      </c>
      <c r="I212" s="2">
        <v>75600</v>
      </c>
      <c r="J212" s="2">
        <v>1</v>
      </c>
      <c r="K212" s="2" t="s">
        <v>16</v>
      </c>
    </row>
    <row r="213" spans="1:11" x14ac:dyDescent="0.35">
      <c r="A213" s="4" t="s">
        <v>370</v>
      </c>
      <c r="B213" s="5">
        <v>45391</v>
      </c>
      <c r="C213" s="4" t="s">
        <v>25</v>
      </c>
      <c r="D213" s="4" t="s">
        <v>49</v>
      </c>
      <c r="E213" s="4" t="s">
        <v>20</v>
      </c>
      <c r="F213" s="4" t="s">
        <v>52</v>
      </c>
      <c r="G213" s="4">
        <v>-83</v>
      </c>
      <c r="H213" s="4">
        <v>450</v>
      </c>
      <c r="I213" s="4">
        <v>37350</v>
      </c>
      <c r="J213" s="4">
        <v>6</v>
      </c>
      <c r="K213" s="4" t="s">
        <v>37</v>
      </c>
    </row>
    <row r="214" spans="1:11" x14ac:dyDescent="0.35">
      <c r="A214" s="2" t="s">
        <v>371</v>
      </c>
      <c r="B214" s="2" t="s">
        <v>372</v>
      </c>
      <c r="C214" s="2" t="s">
        <v>51</v>
      </c>
      <c r="D214" s="2" t="s">
        <v>79</v>
      </c>
      <c r="E214" s="2" t="s">
        <v>14</v>
      </c>
      <c r="F214" s="2" t="s">
        <v>27</v>
      </c>
      <c r="G214" s="2">
        <v>197</v>
      </c>
      <c r="H214" s="2">
        <v>1600</v>
      </c>
      <c r="I214" s="2">
        <v>315200</v>
      </c>
      <c r="J214" s="2">
        <v>0</v>
      </c>
      <c r="K214" s="2" t="s">
        <v>22</v>
      </c>
    </row>
    <row r="215" spans="1:11" x14ac:dyDescent="0.35">
      <c r="A215" s="4" t="s">
        <v>373</v>
      </c>
      <c r="B215" s="4" t="s">
        <v>374</v>
      </c>
      <c r="C215" s="4" t="s">
        <v>83</v>
      </c>
      <c r="D215" s="4" t="s">
        <v>54</v>
      </c>
      <c r="E215" s="4" t="s">
        <v>20</v>
      </c>
      <c r="F215" s="4" t="s">
        <v>97</v>
      </c>
      <c r="G215" s="4">
        <v>85</v>
      </c>
      <c r="H215" s="4">
        <v>500</v>
      </c>
      <c r="I215" s="4">
        <v>42500</v>
      </c>
      <c r="J215" s="4">
        <v>5</v>
      </c>
      <c r="K215" s="4" t="s">
        <v>16</v>
      </c>
    </row>
    <row r="216" spans="1:11" x14ac:dyDescent="0.35">
      <c r="A216" s="2" t="s">
        <v>375</v>
      </c>
      <c r="B216" s="3">
        <v>45359</v>
      </c>
      <c r="C216" s="2" t="s">
        <v>69</v>
      </c>
      <c r="D216" s="2" t="s">
        <v>79</v>
      </c>
      <c r="E216" s="2" t="s">
        <v>14</v>
      </c>
      <c r="F216" s="2" t="s">
        <v>72</v>
      </c>
      <c r="G216" s="2">
        <v>138</v>
      </c>
      <c r="H216" s="2">
        <v>400</v>
      </c>
      <c r="I216" s="2">
        <v>88461.37997870204</v>
      </c>
      <c r="J216" s="2">
        <v>5</v>
      </c>
      <c r="K216" s="2" t="s">
        <v>28</v>
      </c>
    </row>
    <row r="217" spans="1:11" x14ac:dyDescent="0.35">
      <c r="A217" s="4" t="s">
        <v>376</v>
      </c>
      <c r="B217" s="4" t="s">
        <v>377</v>
      </c>
      <c r="C217" s="4" t="s">
        <v>74</v>
      </c>
      <c r="D217" s="4" t="s">
        <v>54</v>
      </c>
      <c r="E217" s="4" t="s">
        <v>14</v>
      </c>
      <c r="F217" s="4" t="s">
        <v>15</v>
      </c>
      <c r="G217" s="4">
        <v>55</v>
      </c>
      <c r="H217" s="4">
        <v>1200</v>
      </c>
      <c r="I217" s="4">
        <v>66000</v>
      </c>
      <c r="J217" s="4">
        <v>5</v>
      </c>
      <c r="K217" s="4" t="s">
        <v>85</v>
      </c>
    </row>
    <row r="218" spans="1:11" x14ac:dyDescent="0.35">
      <c r="A218" s="2" t="s">
        <v>378</v>
      </c>
      <c r="B218" s="2" t="s">
        <v>379</v>
      </c>
      <c r="C218" s="2" t="s">
        <v>380</v>
      </c>
      <c r="D218" s="2" t="s">
        <v>54</v>
      </c>
      <c r="E218" s="2" t="s">
        <v>20</v>
      </c>
      <c r="F218" s="2" t="s">
        <v>97</v>
      </c>
      <c r="G218" s="2">
        <v>14</v>
      </c>
      <c r="H218" s="2">
        <v>500</v>
      </c>
      <c r="I218" s="2">
        <v>7000</v>
      </c>
      <c r="J218" s="2">
        <v>0</v>
      </c>
      <c r="K218" s="2" t="s">
        <v>122</v>
      </c>
    </row>
    <row r="219" spans="1:11" x14ac:dyDescent="0.35">
      <c r="A219" s="4" t="s">
        <v>381</v>
      </c>
      <c r="B219" s="5">
        <v>45432</v>
      </c>
      <c r="C219" s="4" t="s">
        <v>88</v>
      </c>
      <c r="D219" s="4" t="s">
        <v>65</v>
      </c>
      <c r="E219" s="4" t="s">
        <v>31</v>
      </c>
      <c r="F219" s="4" t="s">
        <v>81</v>
      </c>
      <c r="G219" s="4">
        <v>11</v>
      </c>
      <c r="H219" s="4">
        <v>650</v>
      </c>
      <c r="I219" s="4">
        <v>7150</v>
      </c>
      <c r="J219" s="4">
        <v>0</v>
      </c>
      <c r="K219" s="4" t="s">
        <v>46</v>
      </c>
    </row>
    <row r="220" spans="1:11" x14ac:dyDescent="0.35">
      <c r="A220" s="2" t="s">
        <v>382</v>
      </c>
      <c r="B220" s="3">
        <v>45463</v>
      </c>
      <c r="C220" s="2" t="s">
        <v>74</v>
      </c>
      <c r="D220" s="2" t="s">
        <v>54</v>
      </c>
      <c r="E220" s="2" t="s">
        <v>31</v>
      </c>
      <c r="F220" s="2" t="s">
        <v>81</v>
      </c>
      <c r="G220" s="2">
        <v>187</v>
      </c>
      <c r="H220" s="2">
        <v>650</v>
      </c>
      <c r="I220" s="2">
        <v>121550</v>
      </c>
      <c r="J220" s="2">
        <v>9</v>
      </c>
      <c r="K220" s="2" t="s">
        <v>37</v>
      </c>
    </row>
    <row r="221" spans="1:11" x14ac:dyDescent="0.35">
      <c r="A221" s="4" t="s">
        <v>383</v>
      </c>
      <c r="B221" s="4" t="s">
        <v>384</v>
      </c>
      <c r="C221" s="4" t="s">
        <v>18</v>
      </c>
      <c r="D221" s="4" t="s">
        <v>41</v>
      </c>
      <c r="E221" s="4" t="s">
        <v>20</v>
      </c>
      <c r="F221" s="4" t="s">
        <v>52</v>
      </c>
      <c r="G221" s="4">
        <v>124</v>
      </c>
      <c r="H221" s="4">
        <v>450</v>
      </c>
      <c r="I221" s="4">
        <v>55800</v>
      </c>
      <c r="J221" s="4">
        <v>10</v>
      </c>
      <c r="K221" s="4" t="s">
        <v>22</v>
      </c>
    </row>
    <row r="222" spans="1:11" x14ac:dyDescent="0.35">
      <c r="A222" s="2" t="s">
        <v>385</v>
      </c>
      <c r="B222" s="3">
        <v>45347</v>
      </c>
      <c r="C222" s="2" t="s">
        <v>12</v>
      </c>
      <c r="D222" s="2" t="s">
        <v>13</v>
      </c>
      <c r="E222" s="2"/>
      <c r="F222" s="2" t="s">
        <v>159</v>
      </c>
      <c r="G222" s="2">
        <v>176</v>
      </c>
      <c r="H222" s="2">
        <v>1800</v>
      </c>
      <c r="I222" s="2">
        <v>316800</v>
      </c>
      <c r="J222" s="2">
        <v>0</v>
      </c>
      <c r="K222" s="2" t="s">
        <v>22</v>
      </c>
    </row>
    <row r="223" spans="1:11" x14ac:dyDescent="0.35">
      <c r="A223" s="4" t="s">
        <v>386</v>
      </c>
      <c r="B223" s="5">
        <v>45626</v>
      </c>
      <c r="C223" s="4" t="s">
        <v>12</v>
      </c>
      <c r="D223" s="4" t="s">
        <v>65</v>
      </c>
      <c r="E223" s="4" t="s">
        <v>20</v>
      </c>
      <c r="F223" s="4" t="s">
        <v>97</v>
      </c>
      <c r="G223" s="4">
        <v>101</v>
      </c>
      <c r="H223" s="4">
        <v>500</v>
      </c>
      <c r="I223" s="4">
        <v>50500</v>
      </c>
      <c r="J223" s="4">
        <v>5</v>
      </c>
      <c r="K223" s="4"/>
    </row>
    <row r="224" spans="1:11" x14ac:dyDescent="0.35">
      <c r="A224" s="2" t="s">
        <v>387</v>
      </c>
      <c r="B224" s="3">
        <v>45651</v>
      </c>
      <c r="C224" s="2" t="s">
        <v>156</v>
      </c>
      <c r="D224" s="2" t="s">
        <v>19</v>
      </c>
      <c r="E224" s="2" t="s">
        <v>20</v>
      </c>
      <c r="F224" s="2" t="s">
        <v>97</v>
      </c>
      <c r="G224" s="2">
        <v>149</v>
      </c>
      <c r="H224" s="2">
        <v>500</v>
      </c>
      <c r="I224" s="2">
        <v>74500</v>
      </c>
      <c r="J224" s="2">
        <v>3</v>
      </c>
      <c r="K224" s="2" t="s">
        <v>62</v>
      </c>
    </row>
    <row r="225" spans="1:11" x14ac:dyDescent="0.35">
      <c r="A225" s="4" t="s">
        <v>388</v>
      </c>
      <c r="B225" s="5">
        <v>45362</v>
      </c>
      <c r="C225" s="4" t="s">
        <v>88</v>
      </c>
      <c r="D225" s="4" t="s">
        <v>79</v>
      </c>
      <c r="E225" s="4" t="s">
        <v>14</v>
      </c>
      <c r="F225" s="4" t="s">
        <v>171</v>
      </c>
      <c r="G225" s="4">
        <v>6</v>
      </c>
      <c r="H225" s="4">
        <v>700</v>
      </c>
      <c r="I225" s="4">
        <v>4200</v>
      </c>
      <c r="J225" s="4">
        <v>0</v>
      </c>
      <c r="K225" s="4" t="s">
        <v>42</v>
      </c>
    </row>
    <row r="226" spans="1:11" x14ac:dyDescent="0.35">
      <c r="A226" s="2" t="s">
        <v>254</v>
      </c>
      <c r="B226" s="2" t="s">
        <v>255</v>
      </c>
      <c r="C226" s="2" t="s">
        <v>18</v>
      </c>
      <c r="D226" s="2" t="s">
        <v>13</v>
      </c>
      <c r="E226" s="2" t="s">
        <v>20</v>
      </c>
      <c r="F226" s="2" t="s">
        <v>36</v>
      </c>
      <c r="G226" s="2">
        <v>106</v>
      </c>
      <c r="H226" s="2">
        <v>900</v>
      </c>
      <c r="I226" s="2">
        <v>95400</v>
      </c>
      <c r="J226" s="2">
        <v>0</v>
      </c>
      <c r="K226" s="2" t="s">
        <v>85</v>
      </c>
    </row>
    <row r="227" spans="1:11" x14ac:dyDescent="0.35">
      <c r="A227" s="4" t="s">
        <v>389</v>
      </c>
      <c r="B227" s="5">
        <v>45337</v>
      </c>
      <c r="C227" s="4" t="s">
        <v>125</v>
      </c>
      <c r="D227" s="4" t="s">
        <v>49</v>
      </c>
      <c r="E227" s="4" t="s">
        <v>14</v>
      </c>
      <c r="F227" s="4" t="s">
        <v>27</v>
      </c>
      <c r="G227" s="4">
        <v>147</v>
      </c>
      <c r="H227" s="4">
        <v>1600</v>
      </c>
      <c r="I227" s="4">
        <v>235200</v>
      </c>
      <c r="J227" s="4">
        <v>0</v>
      </c>
      <c r="K227" s="4" t="s">
        <v>22</v>
      </c>
    </row>
    <row r="228" spans="1:11" x14ac:dyDescent="0.35">
      <c r="A228" s="2" t="s">
        <v>390</v>
      </c>
      <c r="B228" s="3">
        <v>45558</v>
      </c>
      <c r="C228" s="2" t="s">
        <v>88</v>
      </c>
      <c r="D228" s="2" t="s">
        <v>41</v>
      </c>
      <c r="E228" s="2" t="s">
        <v>14</v>
      </c>
      <c r="F228" s="2" t="s">
        <v>27</v>
      </c>
      <c r="G228" s="2">
        <v>135</v>
      </c>
      <c r="H228" s="2">
        <v>1600</v>
      </c>
      <c r="I228" s="2">
        <v>216000</v>
      </c>
      <c r="J228" s="2">
        <v>9</v>
      </c>
      <c r="K228" s="2" t="s">
        <v>33</v>
      </c>
    </row>
    <row r="229" spans="1:11" x14ac:dyDescent="0.35">
      <c r="A229" s="4" t="s">
        <v>391</v>
      </c>
      <c r="B229" s="5">
        <v>45575</v>
      </c>
      <c r="C229" s="4" t="s">
        <v>106</v>
      </c>
      <c r="D229" s="4" t="s">
        <v>19</v>
      </c>
      <c r="E229" s="4" t="s">
        <v>20</v>
      </c>
      <c r="F229" s="4" t="s">
        <v>52</v>
      </c>
      <c r="G229" s="4">
        <v>49</v>
      </c>
      <c r="H229" s="4">
        <v>450</v>
      </c>
      <c r="I229" s="4">
        <v>22050</v>
      </c>
      <c r="J229" s="4">
        <v>0</v>
      </c>
      <c r="K229" s="4" t="s">
        <v>42</v>
      </c>
    </row>
    <row r="230" spans="1:11" x14ac:dyDescent="0.35">
      <c r="A230" s="2" t="s">
        <v>392</v>
      </c>
      <c r="B230" s="3">
        <v>45387</v>
      </c>
      <c r="C230" s="2" t="s">
        <v>51</v>
      </c>
      <c r="D230" s="2" t="s">
        <v>54</v>
      </c>
      <c r="E230" s="2" t="s">
        <v>20</v>
      </c>
      <c r="F230" s="2" t="s">
        <v>133</v>
      </c>
      <c r="G230" s="2">
        <v>130</v>
      </c>
      <c r="H230" s="2">
        <v>1200</v>
      </c>
      <c r="I230" s="2">
        <v>156000</v>
      </c>
      <c r="J230" s="2">
        <v>13</v>
      </c>
      <c r="K230" s="2" t="s">
        <v>22</v>
      </c>
    </row>
    <row r="231" spans="1:11" x14ac:dyDescent="0.35">
      <c r="A231" s="4" t="s">
        <v>393</v>
      </c>
      <c r="B231" s="4" t="s">
        <v>394</v>
      </c>
      <c r="C231" s="4" t="s">
        <v>51</v>
      </c>
      <c r="D231" s="4" t="s">
        <v>79</v>
      </c>
      <c r="E231" s="4"/>
      <c r="F231" s="4" t="s">
        <v>133</v>
      </c>
      <c r="G231" s="4">
        <v>98</v>
      </c>
      <c r="H231" s="4">
        <v>1200</v>
      </c>
      <c r="I231" s="4">
        <v>117600</v>
      </c>
      <c r="J231" s="4">
        <v>2</v>
      </c>
      <c r="K231" s="4" t="s">
        <v>28</v>
      </c>
    </row>
    <row r="232" spans="1:11" x14ac:dyDescent="0.35">
      <c r="A232" s="2" t="s">
        <v>395</v>
      </c>
      <c r="B232" s="3">
        <v>45648</v>
      </c>
      <c r="C232" s="2" t="s">
        <v>51</v>
      </c>
      <c r="D232" s="2" t="s">
        <v>79</v>
      </c>
      <c r="E232" s="2" t="s">
        <v>14</v>
      </c>
      <c r="F232" s="2" t="s">
        <v>99</v>
      </c>
      <c r="G232" s="2">
        <v>150</v>
      </c>
      <c r="H232" s="2">
        <v>1500</v>
      </c>
      <c r="I232" s="2">
        <v>225000</v>
      </c>
      <c r="J232" s="2">
        <v>0</v>
      </c>
      <c r="K232" s="2" t="s">
        <v>28</v>
      </c>
    </row>
    <row r="233" spans="1:11" x14ac:dyDescent="0.35">
      <c r="A233" s="4" t="s">
        <v>396</v>
      </c>
      <c r="B233" s="5">
        <v>45357</v>
      </c>
      <c r="C233" s="4" t="s">
        <v>96</v>
      </c>
      <c r="D233" s="4" t="s">
        <v>26</v>
      </c>
      <c r="E233" s="4" t="s">
        <v>14</v>
      </c>
      <c r="F233" s="4" t="s">
        <v>61</v>
      </c>
      <c r="G233" s="4">
        <v>179</v>
      </c>
      <c r="H233" s="4">
        <v>2200</v>
      </c>
      <c r="I233" s="4">
        <v>393800</v>
      </c>
      <c r="J233" s="4">
        <v>13</v>
      </c>
      <c r="K233" s="4" t="s">
        <v>46</v>
      </c>
    </row>
    <row r="234" spans="1:11" x14ac:dyDescent="0.35">
      <c r="A234" s="2" t="s">
        <v>397</v>
      </c>
      <c r="B234" s="2" t="s">
        <v>398</v>
      </c>
      <c r="C234" s="2" t="s">
        <v>60</v>
      </c>
      <c r="D234" s="2" t="s">
        <v>54</v>
      </c>
      <c r="E234" s="2" t="s">
        <v>20</v>
      </c>
      <c r="F234" s="2" t="s">
        <v>153</v>
      </c>
      <c r="G234" s="2">
        <v>123</v>
      </c>
      <c r="H234" s="2">
        <v>2800</v>
      </c>
      <c r="I234" s="2">
        <v>344400</v>
      </c>
      <c r="J234" s="2">
        <v>12</v>
      </c>
      <c r="K234" s="2" t="s">
        <v>28</v>
      </c>
    </row>
    <row r="235" spans="1:11" x14ac:dyDescent="0.35">
      <c r="A235" s="4" t="s">
        <v>399</v>
      </c>
      <c r="B235" s="5">
        <v>45481</v>
      </c>
      <c r="C235" s="4" t="s">
        <v>44</v>
      </c>
      <c r="D235" s="4" t="s">
        <v>65</v>
      </c>
      <c r="E235" s="4" t="s">
        <v>14</v>
      </c>
      <c r="F235" s="4" t="s">
        <v>72</v>
      </c>
      <c r="G235" s="4">
        <v>90</v>
      </c>
      <c r="H235" s="4">
        <v>400</v>
      </c>
      <c r="I235" s="4">
        <v>36000</v>
      </c>
      <c r="J235" s="4">
        <v>9</v>
      </c>
      <c r="K235" s="4" t="s">
        <v>85</v>
      </c>
    </row>
    <row r="236" spans="1:11" x14ac:dyDescent="0.35">
      <c r="A236" s="2" t="s">
        <v>400</v>
      </c>
      <c r="B236" s="3">
        <v>45341</v>
      </c>
      <c r="C236" s="2" t="s">
        <v>96</v>
      </c>
      <c r="D236" s="2" t="s">
        <v>41</v>
      </c>
      <c r="E236" s="2" t="s">
        <v>14</v>
      </c>
      <c r="F236" s="2" t="s">
        <v>171</v>
      </c>
      <c r="G236" s="2">
        <v>16</v>
      </c>
      <c r="H236" s="2">
        <v>700</v>
      </c>
      <c r="I236" s="2">
        <v>11200</v>
      </c>
      <c r="J236" s="2">
        <v>1</v>
      </c>
      <c r="K236" s="2" t="s">
        <v>46</v>
      </c>
    </row>
    <row r="237" spans="1:11" x14ac:dyDescent="0.35">
      <c r="A237" s="4" t="s">
        <v>401</v>
      </c>
      <c r="B237" s="5">
        <v>45603</v>
      </c>
      <c r="C237" s="4" t="s">
        <v>64</v>
      </c>
      <c r="D237" s="4"/>
      <c r="E237" s="4" t="s">
        <v>31</v>
      </c>
      <c r="F237" s="4" t="s">
        <v>55</v>
      </c>
      <c r="G237" s="4">
        <v>36</v>
      </c>
      <c r="H237" s="4">
        <v>1100</v>
      </c>
      <c r="I237" s="4">
        <v>39600</v>
      </c>
      <c r="J237" s="4">
        <v>0</v>
      </c>
      <c r="K237" s="4" t="s">
        <v>28</v>
      </c>
    </row>
    <row r="238" spans="1:11" x14ac:dyDescent="0.35">
      <c r="A238" s="2" t="s">
        <v>402</v>
      </c>
      <c r="B238" s="3">
        <v>45541</v>
      </c>
      <c r="C238" s="2" t="s">
        <v>83</v>
      </c>
      <c r="D238" s="2" t="s">
        <v>79</v>
      </c>
      <c r="E238" s="2" t="s">
        <v>14</v>
      </c>
      <c r="F238" s="2" t="s">
        <v>15</v>
      </c>
      <c r="G238" s="2">
        <v>29</v>
      </c>
      <c r="H238" s="2">
        <v>1200</v>
      </c>
      <c r="I238" s="2">
        <v>34800</v>
      </c>
      <c r="J238" s="2">
        <v>0</v>
      </c>
      <c r="K238" s="2" t="s">
        <v>16</v>
      </c>
    </row>
    <row r="239" spans="1:11" x14ac:dyDescent="0.35">
      <c r="A239" s="4" t="s">
        <v>403</v>
      </c>
      <c r="B239" s="5">
        <v>45642</v>
      </c>
      <c r="C239" s="4" t="s">
        <v>96</v>
      </c>
      <c r="D239" s="4" t="s">
        <v>65</v>
      </c>
      <c r="E239" s="4" t="s">
        <v>14</v>
      </c>
      <c r="F239" s="4" t="s">
        <v>15</v>
      </c>
      <c r="G239" s="4">
        <v>56</v>
      </c>
      <c r="H239" s="4">
        <v>1200</v>
      </c>
      <c r="I239" s="4">
        <v>67200</v>
      </c>
      <c r="J239" s="4">
        <v>3</v>
      </c>
      <c r="K239" s="4" t="s">
        <v>16</v>
      </c>
    </row>
    <row r="240" spans="1:11" x14ac:dyDescent="0.35">
      <c r="A240" s="2" t="s">
        <v>404</v>
      </c>
      <c r="B240" s="3">
        <v>45548</v>
      </c>
      <c r="C240" s="2" t="s">
        <v>51</v>
      </c>
      <c r="D240" s="2" t="s">
        <v>41</v>
      </c>
      <c r="E240" s="2" t="s">
        <v>14</v>
      </c>
      <c r="F240" s="2" t="s">
        <v>27</v>
      </c>
      <c r="G240" s="2">
        <v>14</v>
      </c>
      <c r="H240" s="2">
        <v>1600</v>
      </c>
      <c r="I240" s="2">
        <v>22400</v>
      </c>
      <c r="J240" s="2">
        <v>0</v>
      </c>
      <c r="K240" s="2" t="s">
        <v>37</v>
      </c>
    </row>
    <row r="241" spans="1:11" x14ac:dyDescent="0.35">
      <c r="A241" s="4" t="s">
        <v>405</v>
      </c>
      <c r="B241" s="5">
        <v>45529</v>
      </c>
      <c r="C241" s="4" t="s">
        <v>406</v>
      </c>
      <c r="D241" s="4" t="s">
        <v>54</v>
      </c>
      <c r="E241" s="4" t="s">
        <v>20</v>
      </c>
      <c r="F241" s="4" t="s">
        <v>97</v>
      </c>
      <c r="G241" s="4">
        <v>112</v>
      </c>
      <c r="H241" s="4">
        <v>500</v>
      </c>
      <c r="I241" s="4">
        <v>56000</v>
      </c>
      <c r="J241" s="4">
        <v>0</v>
      </c>
      <c r="K241" s="4" t="s">
        <v>37</v>
      </c>
    </row>
    <row r="242" spans="1:11" x14ac:dyDescent="0.35">
      <c r="A242" s="2" t="s">
        <v>407</v>
      </c>
      <c r="B242" s="3">
        <v>45425</v>
      </c>
      <c r="C242" s="2" t="s">
        <v>30</v>
      </c>
      <c r="D242" s="2" t="s">
        <v>54</v>
      </c>
      <c r="E242" s="2" t="s">
        <v>20</v>
      </c>
      <c r="F242" s="2" t="s">
        <v>21</v>
      </c>
      <c r="G242" s="2">
        <v>21</v>
      </c>
      <c r="H242" s="2">
        <v>3500</v>
      </c>
      <c r="I242" s="2">
        <v>73500</v>
      </c>
      <c r="J242" s="2">
        <v>1</v>
      </c>
      <c r="K242" s="2" t="s">
        <v>42</v>
      </c>
    </row>
    <row r="243" spans="1:11" x14ac:dyDescent="0.35">
      <c r="A243" s="4" t="s">
        <v>257</v>
      </c>
      <c r="B243" s="5">
        <v>45493</v>
      </c>
      <c r="C243" s="4" t="s">
        <v>44</v>
      </c>
      <c r="D243" s="4" t="s">
        <v>65</v>
      </c>
      <c r="E243" s="4" t="s">
        <v>20</v>
      </c>
      <c r="F243" s="4" t="s">
        <v>36</v>
      </c>
      <c r="G243" s="4">
        <v>39</v>
      </c>
      <c r="H243" s="4">
        <v>900</v>
      </c>
      <c r="I243" s="4">
        <v>35100</v>
      </c>
      <c r="J243" s="4">
        <v>3</v>
      </c>
      <c r="K243" s="4" t="s">
        <v>22</v>
      </c>
    </row>
    <row r="244" spans="1:11" x14ac:dyDescent="0.35">
      <c r="A244" s="2" t="s">
        <v>408</v>
      </c>
      <c r="B244" s="3">
        <v>45535</v>
      </c>
      <c r="C244" s="2" t="s">
        <v>60</v>
      </c>
      <c r="D244" s="2" t="s">
        <v>79</v>
      </c>
      <c r="E244" s="2" t="s">
        <v>14</v>
      </c>
      <c r="F244" s="2" t="s">
        <v>27</v>
      </c>
      <c r="G244" s="2">
        <v>106</v>
      </c>
      <c r="H244" s="2">
        <v>1600</v>
      </c>
      <c r="I244" s="2">
        <v>169600</v>
      </c>
      <c r="J244" s="2">
        <v>9</v>
      </c>
      <c r="K244" s="2" t="s">
        <v>46</v>
      </c>
    </row>
    <row r="245" spans="1:11" x14ac:dyDescent="0.35">
      <c r="A245" s="4" t="s">
        <v>409</v>
      </c>
      <c r="B245" s="5">
        <v>45389</v>
      </c>
      <c r="C245" s="4" t="s">
        <v>60</v>
      </c>
      <c r="D245" s="4" t="s">
        <v>93</v>
      </c>
      <c r="E245" s="4" t="s">
        <v>20</v>
      </c>
      <c r="F245" s="4" t="s">
        <v>36</v>
      </c>
      <c r="G245" s="4">
        <v>176</v>
      </c>
      <c r="H245" s="4">
        <v>900</v>
      </c>
      <c r="I245" s="4">
        <v>158400</v>
      </c>
      <c r="J245" s="4">
        <v>17</v>
      </c>
      <c r="K245" s="4" t="s">
        <v>37</v>
      </c>
    </row>
    <row r="246" spans="1:11" x14ac:dyDescent="0.35">
      <c r="A246" s="2" t="s">
        <v>410</v>
      </c>
      <c r="B246" s="3">
        <v>45389</v>
      </c>
      <c r="C246" s="2" t="s">
        <v>18</v>
      </c>
      <c r="D246" s="2" t="s">
        <v>19</v>
      </c>
      <c r="E246" s="2" t="s">
        <v>31</v>
      </c>
      <c r="F246" s="2" t="s">
        <v>89</v>
      </c>
      <c r="G246" s="2">
        <v>181</v>
      </c>
      <c r="H246" s="2">
        <v>900</v>
      </c>
      <c r="I246" s="2">
        <v>162900</v>
      </c>
      <c r="J246" s="2">
        <v>1</v>
      </c>
      <c r="K246" s="2" t="s">
        <v>37</v>
      </c>
    </row>
    <row r="247" spans="1:11" x14ac:dyDescent="0.35">
      <c r="A247" s="4" t="s">
        <v>411</v>
      </c>
      <c r="B247" s="5">
        <v>45457</v>
      </c>
      <c r="C247" s="4" t="s">
        <v>74</v>
      </c>
      <c r="D247" s="4" t="s">
        <v>41</v>
      </c>
      <c r="E247" s="4" t="s">
        <v>20</v>
      </c>
      <c r="F247" s="4" t="s">
        <v>133</v>
      </c>
      <c r="G247" s="4">
        <v>33</v>
      </c>
      <c r="H247" s="4">
        <v>1200</v>
      </c>
      <c r="I247" s="4">
        <v>39600</v>
      </c>
      <c r="J247" s="4">
        <v>3</v>
      </c>
      <c r="K247" s="4" t="s">
        <v>46</v>
      </c>
    </row>
    <row r="248" spans="1:11" x14ac:dyDescent="0.35">
      <c r="A248" s="2" t="s">
        <v>412</v>
      </c>
      <c r="B248" s="2" t="s">
        <v>413</v>
      </c>
      <c r="C248" s="2" t="s">
        <v>44</v>
      </c>
      <c r="D248" s="2" t="s">
        <v>54</v>
      </c>
      <c r="E248" s="2" t="s">
        <v>20</v>
      </c>
      <c r="F248" s="2" t="s">
        <v>97</v>
      </c>
      <c r="G248" s="2">
        <v>110</v>
      </c>
      <c r="H248" s="2">
        <v>500</v>
      </c>
      <c r="I248" s="2">
        <v>55000</v>
      </c>
      <c r="J248" s="2">
        <v>0</v>
      </c>
      <c r="K248" s="2" t="s">
        <v>16</v>
      </c>
    </row>
    <row r="249" spans="1:11" x14ac:dyDescent="0.35">
      <c r="A249" s="4" t="s">
        <v>414</v>
      </c>
      <c r="B249" s="5">
        <v>45607</v>
      </c>
      <c r="C249" s="4" t="s">
        <v>313</v>
      </c>
      <c r="D249" s="4" t="s">
        <v>13</v>
      </c>
      <c r="E249" s="4" t="s">
        <v>31</v>
      </c>
      <c r="F249" s="4" t="s">
        <v>121</v>
      </c>
      <c r="G249" s="4">
        <v>141</v>
      </c>
      <c r="H249" s="4">
        <v>200</v>
      </c>
      <c r="I249" s="4">
        <v>28200</v>
      </c>
      <c r="J249" s="4">
        <v>4</v>
      </c>
      <c r="K249" s="4" t="s">
        <v>46</v>
      </c>
    </row>
    <row r="250" spans="1:11" x14ac:dyDescent="0.35">
      <c r="A250" s="2" t="s">
        <v>415</v>
      </c>
      <c r="B250" s="2" t="s">
        <v>416</v>
      </c>
      <c r="C250" s="2" t="s">
        <v>109</v>
      </c>
      <c r="D250" s="2" t="s">
        <v>13</v>
      </c>
      <c r="E250" s="2" t="s">
        <v>14</v>
      </c>
      <c r="F250" s="2" t="s">
        <v>171</v>
      </c>
      <c r="G250" s="2">
        <v>59</v>
      </c>
      <c r="H250" s="2">
        <v>700</v>
      </c>
      <c r="I250" s="2">
        <v>41300</v>
      </c>
      <c r="J250" s="2">
        <v>1</v>
      </c>
      <c r="K250" s="2" t="s">
        <v>46</v>
      </c>
    </row>
    <row r="251" spans="1:11" x14ac:dyDescent="0.35">
      <c r="A251" s="4" t="s">
        <v>417</v>
      </c>
      <c r="B251" s="5">
        <v>45473</v>
      </c>
      <c r="C251" s="4" t="s">
        <v>418</v>
      </c>
      <c r="D251" s="4" t="s">
        <v>93</v>
      </c>
      <c r="E251" s="4" t="s">
        <v>31</v>
      </c>
      <c r="F251" s="4" t="s">
        <v>45</v>
      </c>
      <c r="G251" s="4">
        <v>194</v>
      </c>
      <c r="H251" s="4">
        <v>1200</v>
      </c>
      <c r="I251" s="4">
        <v>232800</v>
      </c>
      <c r="J251" s="4">
        <v>2</v>
      </c>
      <c r="K251" s="4" t="s">
        <v>122</v>
      </c>
    </row>
    <row r="252" spans="1:11" x14ac:dyDescent="0.35">
      <c r="A252" s="2" t="s">
        <v>419</v>
      </c>
      <c r="B252" s="3">
        <v>45645</v>
      </c>
      <c r="C252" s="2" t="s">
        <v>125</v>
      </c>
      <c r="D252" s="2" t="s">
        <v>13</v>
      </c>
      <c r="E252" s="2" t="s">
        <v>20</v>
      </c>
      <c r="F252" s="2" t="s">
        <v>153</v>
      </c>
      <c r="G252" s="2">
        <v>135</v>
      </c>
      <c r="H252" s="2">
        <v>2800</v>
      </c>
      <c r="I252" s="2">
        <v>378000</v>
      </c>
      <c r="J252" s="2">
        <v>12</v>
      </c>
      <c r="K252" s="2" t="s">
        <v>62</v>
      </c>
    </row>
    <row r="253" spans="1:11" x14ac:dyDescent="0.35">
      <c r="A253" s="4" t="s">
        <v>420</v>
      </c>
      <c r="B253" s="5">
        <v>45607</v>
      </c>
      <c r="C253" s="4" t="s">
        <v>40</v>
      </c>
      <c r="D253" s="4" t="s">
        <v>26</v>
      </c>
      <c r="E253" s="4" t="s">
        <v>20</v>
      </c>
      <c r="F253" s="4" t="s">
        <v>21</v>
      </c>
      <c r="G253" s="4">
        <v>159</v>
      </c>
      <c r="H253" s="4">
        <v>3500</v>
      </c>
      <c r="I253" s="4">
        <v>556500</v>
      </c>
      <c r="J253" s="4">
        <v>5</v>
      </c>
      <c r="K253" s="4" t="s">
        <v>42</v>
      </c>
    </row>
    <row r="254" spans="1:11" x14ac:dyDescent="0.35">
      <c r="A254" s="2" t="s">
        <v>421</v>
      </c>
      <c r="B254" s="3">
        <v>45358</v>
      </c>
      <c r="C254" s="2" t="s">
        <v>69</v>
      </c>
      <c r="D254" s="2" t="s">
        <v>35</v>
      </c>
      <c r="E254" s="2" t="s">
        <v>31</v>
      </c>
      <c r="F254" s="2" t="s">
        <v>58</v>
      </c>
      <c r="G254" s="2">
        <v>161</v>
      </c>
      <c r="H254" s="2">
        <v>850</v>
      </c>
      <c r="I254" s="2">
        <v>136850</v>
      </c>
      <c r="J254" s="2">
        <v>0</v>
      </c>
      <c r="K254" s="2" t="s">
        <v>28</v>
      </c>
    </row>
    <row r="255" spans="1:11" x14ac:dyDescent="0.35">
      <c r="A255" s="4" t="s">
        <v>422</v>
      </c>
      <c r="B255" s="5">
        <v>45353</v>
      </c>
      <c r="C255" s="4" t="s">
        <v>125</v>
      </c>
      <c r="D255" s="4" t="s">
        <v>41</v>
      </c>
      <c r="E255" s="4" t="s">
        <v>31</v>
      </c>
      <c r="F255" s="4" t="s">
        <v>32</v>
      </c>
      <c r="G255" s="4">
        <v>88</v>
      </c>
      <c r="H255" s="4">
        <v>1400</v>
      </c>
      <c r="I255" s="4">
        <v>123200</v>
      </c>
      <c r="J255" s="4">
        <v>0</v>
      </c>
      <c r="K255" s="4" t="s">
        <v>42</v>
      </c>
    </row>
    <row r="256" spans="1:11" x14ac:dyDescent="0.35">
      <c r="A256" s="2" t="s">
        <v>423</v>
      </c>
      <c r="B256" s="3">
        <v>45585</v>
      </c>
      <c r="C256" s="2" t="s">
        <v>156</v>
      </c>
      <c r="D256" s="2" t="s">
        <v>65</v>
      </c>
      <c r="E256" s="2" t="s">
        <v>20</v>
      </c>
      <c r="F256" s="2" t="s">
        <v>52</v>
      </c>
      <c r="G256" s="2">
        <v>57</v>
      </c>
      <c r="H256" s="2">
        <v>450</v>
      </c>
      <c r="I256" s="2">
        <v>25650</v>
      </c>
      <c r="J256" s="2">
        <v>4</v>
      </c>
      <c r="K256" s="2" t="s">
        <v>42</v>
      </c>
    </row>
    <row r="257" spans="1:11" x14ac:dyDescent="0.35">
      <c r="A257" s="4" t="s">
        <v>424</v>
      </c>
      <c r="B257" s="4" t="s">
        <v>425</v>
      </c>
      <c r="C257" s="4" t="s">
        <v>92</v>
      </c>
      <c r="D257" s="4" t="s">
        <v>65</v>
      </c>
      <c r="E257" s="4" t="s">
        <v>20</v>
      </c>
      <c r="F257" s="4" t="s">
        <v>52</v>
      </c>
      <c r="G257" s="4">
        <v>113</v>
      </c>
      <c r="H257" s="4"/>
      <c r="I257" s="4">
        <v>50850</v>
      </c>
      <c r="J257" s="4">
        <v>5</v>
      </c>
      <c r="K257" s="4" t="s">
        <v>28</v>
      </c>
    </row>
    <row r="258" spans="1:11" x14ac:dyDescent="0.35">
      <c r="A258" s="2" t="s">
        <v>426</v>
      </c>
      <c r="B258" s="3">
        <v>45437</v>
      </c>
      <c r="C258" s="2" t="s">
        <v>64</v>
      </c>
      <c r="D258" s="2" t="s">
        <v>19</v>
      </c>
      <c r="E258" s="2" t="s">
        <v>14</v>
      </c>
      <c r="F258" s="2" t="s">
        <v>15</v>
      </c>
      <c r="G258" s="2">
        <v>32</v>
      </c>
      <c r="H258" s="2">
        <v>1200</v>
      </c>
      <c r="I258" s="2"/>
      <c r="J258" s="2">
        <v>3</v>
      </c>
      <c r="K258" s="2" t="s">
        <v>28</v>
      </c>
    </row>
    <row r="259" spans="1:11" x14ac:dyDescent="0.35">
      <c r="A259" s="4" t="s">
        <v>427</v>
      </c>
      <c r="B259" s="5">
        <v>45570</v>
      </c>
      <c r="C259" s="4" t="s">
        <v>118</v>
      </c>
      <c r="D259" s="4" t="s">
        <v>49</v>
      </c>
      <c r="E259" s="4"/>
      <c r="F259" s="4" t="s">
        <v>32</v>
      </c>
      <c r="G259" s="4">
        <v>174</v>
      </c>
      <c r="H259" s="4">
        <v>1400</v>
      </c>
      <c r="I259" s="4">
        <v>243600</v>
      </c>
      <c r="J259" s="4">
        <v>16</v>
      </c>
      <c r="K259" s="4" t="s">
        <v>28</v>
      </c>
    </row>
    <row r="260" spans="1:11" x14ac:dyDescent="0.35">
      <c r="A260" s="2" t="s">
        <v>428</v>
      </c>
      <c r="B260" s="3">
        <v>45503</v>
      </c>
      <c r="C260" s="2" t="s">
        <v>109</v>
      </c>
      <c r="D260" s="2" t="s">
        <v>49</v>
      </c>
      <c r="E260" s="2" t="s">
        <v>20</v>
      </c>
      <c r="F260" s="2" t="s">
        <v>36</v>
      </c>
      <c r="G260" s="2">
        <v>30</v>
      </c>
      <c r="H260" s="2">
        <v>900</v>
      </c>
      <c r="I260" s="2">
        <v>27000</v>
      </c>
      <c r="J260" s="2">
        <v>1</v>
      </c>
      <c r="K260" s="2" t="s">
        <v>37</v>
      </c>
    </row>
    <row r="261" spans="1:11" x14ac:dyDescent="0.35">
      <c r="A261" s="4" t="s">
        <v>429</v>
      </c>
      <c r="B261" s="5">
        <v>45527</v>
      </c>
      <c r="C261" s="4" t="s">
        <v>83</v>
      </c>
      <c r="D261" s="4"/>
      <c r="E261" s="4"/>
      <c r="F261" s="4" t="s">
        <v>15</v>
      </c>
      <c r="G261" s="4">
        <v>162</v>
      </c>
      <c r="H261" s="4">
        <v>1200</v>
      </c>
      <c r="I261" s="4">
        <v>194400</v>
      </c>
      <c r="J261" s="4">
        <v>9</v>
      </c>
      <c r="K261" s="4" t="s">
        <v>16</v>
      </c>
    </row>
    <row r="262" spans="1:11" x14ac:dyDescent="0.35">
      <c r="A262" s="2" t="s">
        <v>430</v>
      </c>
      <c r="B262" s="3">
        <v>45580</v>
      </c>
      <c r="C262" s="2" t="s">
        <v>125</v>
      </c>
      <c r="D262" s="2" t="s">
        <v>65</v>
      </c>
      <c r="E262" s="2" t="s">
        <v>31</v>
      </c>
      <c r="F262" s="2" t="s">
        <v>58</v>
      </c>
      <c r="G262" s="2">
        <v>160</v>
      </c>
      <c r="H262" s="2">
        <v>850</v>
      </c>
      <c r="I262" s="2">
        <v>136000</v>
      </c>
      <c r="J262" s="2">
        <v>4</v>
      </c>
      <c r="K262" s="2" t="s">
        <v>46</v>
      </c>
    </row>
    <row r="263" spans="1:11" x14ac:dyDescent="0.35">
      <c r="A263" s="4" t="s">
        <v>431</v>
      </c>
      <c r="B263" s="5">
        <v>45413</v>
      </c>
      <c r="C263" s="4" t="s">
        <v>18</v>
      </c>
      <c r="D263" s="4" t="s">
        <v>49</v>
      </c>
      <c r="E263" s="4" t="s">
        <v>20</v>
      </c>
      <c r="F263" s="4" t="s">
        <v>52</v>
      </c>
      <c r="G263" s="4">
        <v>104</v>
      </c>
      <c r="H263" s="4">
        <v>450</v>
      </c>
      <c r="I263" s="4">
        <v>46800</v>
      </c>
      <c r="J263" s="4">
        <v>0</v>
      </c>
      <c r="K263" s="4" t="s">
        <v>16</v>
      </c>
    </row>
    <row r="264" spans="1:11" x14ac:dyDescent="0.35">
      <c r="A264" s="2" t="s">
        <v>432</v>
      </c>
      <c r="B264" s="3">
        <v>45437</v>
      </c>
      <c r="C264" s="2" t="s">
        <v>51</v>
      </c>
      <c r="D264" s="2" t="s">
        <v>93</v>
      </c>
      <c r="E264" s="2" t="s">
        <v>14</v>
      </c>
      <c r="F264" s="2" t="s">
        <v>61</v>
      </c>
      <c r="G264" s="2">
        <v>134</v>
      </c>
      <c r="H264" s="2">
        <v>2200</v>
      </c>
      <c r="I264" s="2">
        <v>294800</v>
      </c>
      <c r="J264" s="2">
        <v>0</v>
      </c>
      <c r="K264" s="2"/>
    </row>
    <row r="265" spans="1:11" x14ac:dyDescent="0.35">
      <c r="A265" s="4" t="s">
        <v>433</v>
      </c>
      <c r="B265" s="4" t="s">
        <v>434</v>
      </c>
      <c r="C265" s="4" t="s">
        <v>74</v>
      </c>
      <c r="D265" s="4" t="s">
        <v>26</v>
      </c>
      <c r="E265" s="4" t="s">
        <v>14</v>
      </c>
      <c r="F265" s="4" t="s">
        <v>27</v>
      </c>
      <c r="G265" s="4">
        <v>114</v>
      </c>
      <c r="H265" s="4">
        <v>1600</v>
      </c>
      <c r="I265" s="4">
        <v>182400</v>
      </c>
      <c r="J265" s="4">
        <v>1</v>
      </c>
      <c r="K265" s="4" t="s">
        <v>33</v>
      </c>
    </row>
    <row r="266" spans="1:11" x14ac:dyDescent="0.35">
      <c r="A266" s="2" t="s">
        <v>435</v>
      </c>
      <c r="B266" s="3">
        <v>45610</v>
      </c>
      <c r="C266" s="2" t="s">
        <v>51</v>
      </c>
      <c r="D266" s="2" t="s">
        <v>26</v>
      </c>
      <c r="E266" s="2" t="s">
        <v>20</v>
      </c>
      <c r="F266" s="2" t="s">
        <v>52</v>
      </c>
      <c r="G266" s="2">
        <v>-182</v>
      </c>
      <c r="H266" s="2">
        <v>450</v>
      </c>
      <c r="I266" s="2">
        <v>81900</v>
      </c>
      <c r="J266" s="2">
        <v>10</v>
      </c>
      <c r="K266" s="2" t="s">
        <v>22</v>
      </c>
    </row>
    <row r="267" spans="1:11" x14ac:dyDescent="0.35">
      <c r="A267" s="4" t="s">
        <v>436</v>
      </c>
      <c r="B267" s="5">
        <v>45612</v>
      </c>
      <c r="C267" s="4" t="s">
        <v>88</v>
      </c>
      <c r="D267" s="4" t="s">
        <v>49</v>
      </c>
      <c r="E267" s="4" t="s">
        <v>14</v>
      </c>
      <c r="F267" s="4" t="s">
        <v>61</v>
      </c>
      <c r="G267" s="4">
        <v>66</v>
      </c>
      <c r="H267" s="4">
        <v>2200</v>
      </c>
      <c r="I267" s="4">
        <v>145200</v>
      </c>
      <c r="J267" s="4">
        <v>2</v>
      </c>
      <c r="K267" s="4" t="s">
        <v>16</v>
      </c>
    </row>
    <row r="268" spans="1:11" x14ac:dyDescent="0.35">
      <c r="A268" s="2" t="s">
        <v>437</v>
      </c>
      <c r="B268" s="3">
        <v>45420</v>
      </c>
      <c r="C268" s="2" t="s">
        <v>30</v>
      </c>
      <c r="D268" s="2" t="s">
        <v>26</v>
      </c>
      <c r="E268" s="2" t="s">
        <v>14</v>
      </c>
      <c r="F268" s="2" t="s">
        <v>72</v>
      </c>
      <c r="G268" s="2">
        <v>-83</v>
      </c>
      <c r="H268" s="2">
        <v>400</v>
      </c>
      <c r="I268" s="2">
        <v>33200</v>
      </c>
      <c r="J268" s="2">
        <v>0</v>
      </c>
      <c r="K268" s="2" t="s">
        <v>16</v>
      </c>
    </row>
    <row r="269" spans="1:11" x14ac:dyDescent="0.35">
      <c r="A269" s="4" t="s">
        <v>438</v>
      </c>
      <c r="B269" s="4" t="s">
        <v>439</v>
      </c>
      <c r="C269" s="4" t="s">
        <v>83</v>
      </c>
      <c r="D269" s="4" t="s">
        <v>54</v>
      </c>
      <c r="E269" s="4" t="s">
        <v>20</v>
      </c>
      <c r="F269" s="4" t="s">
        <v>133</v>
      </c>
      <c r="G269" s="4">
        <v>119</v>
      </c>
      <c r="H269" s="4">
        <v>1200</v>
      </c>
      <c r="I269" s="4">
        <v>142800</v>
      </c>
      <c r="J269" s="4">
        <v>2</v>
      </c>
      <c r="K269" s="4" t="s">
        <v>28</v>
      </c>
    </row>
    <row r="270" spans="1:11" x14ac:dyDescent="0.35">
      <c r="A270" s="2" t="s">
        <v>440</v>
      </c>
      <c r="B270" s="3">
        <v>45571</v>
      </c>
      <c r="C270" s="2" t="s">
        <v>25</v>
      </c>
      <c r="D270" s="2" t="s">
        <v>49</v>
      </c>
      <c r="E270" s="2" t="s">
        <v>20</v>
      </c>
      <c r="F270" s="2" t="s">
        <v>97</v>
      </c>
      <c r="G270" s="2">
        <v>168</v>
      </c>
      <c r="H270" s="2">
        <v>500</v>
      </c>
      <c r="I270" s="2">
        <v>84000</v>
      </c>
      <c r="J270" s="2">
        <v>12</v>
      </c>
      <c r="K270" s="2" t="s">
        <v>28</v>
      </c>
    </row>
    <row r="271" spans="1:11" x14ac:dyDescent="0.35">
      <c r="A271" s="4" t="s">
        <v>441</v>
      </c>
      <c r="B271" s="5">
        <v>45642</v>
      </c>
      <c r="C271" s="4" t="s">
        <v>118</v>
      </c>
      <c r="D271" s="4" t="s">
        <v>142</v>
      </c>
      <c r="E271" s="4" t="s">
        <v>20</v>
      </c>
      <c r="F271" s="4" t="s">
        <v>21</v>
      </c>
      <c r="G271" s="4">
        <v>67</v>
      </c>
      <c r="H271" s="4">
        <v>3500</v>
      </c>
      <c r="I271" s="4">
        <v>234500</v>
      </c>
      <c r="J271" s="4">
        <v>0</v>
      </c>
      <c r="K271" s="4" t="s">
        <v>22</v>
      </c>
    </row>
    <row r="272" spans="1:11" x14ac:dyDescent="0.35">
      <c r="A272" s="2" t="s">
        <v>442</v>
      </c>
      <c r="B272" s="3">
        <v>45586</v>
      </c>
      <c r="C272" s="2" t="s">
        <v>106</v>
      </c>
      <c r="D272" s="2" t="s">
        <v>19</v>
      </c>
      <c r="E272" s="2" t="s">
        <v>14</v>
      </c>
      <c r="F272" s="2" t="s">
        <v>99</v>
      </c>
      <c r="G272" s="2">
        <v>53</v>
      </c>
      <c r="H272" s="2">
        <v>1500</v>
      </c>
      <c r="I272" s="2">
        <v>71253.027893919731</v>
      </c>
      <c r="J272" s="2">
        <v>4</v>
      </c>
      <c r="K272" s="2" t="s">
        <v>28</v>
      </c>
    </row>
    <row r="273" spans="1:11" x14ac:dyDescent="0.35">
      <c r="A273" s="4" t="s">
        <v>443</v>
      </c>
      <c r="B273" s="4" t="s">
        <v>444</v>
      </c>
      <c r="C273" s="4" t="s">
        <v>156</v>
      </c>
      <c r="D273" s="4" t="s">
        <v>49</v>
      </c>
      <c r="E273" s="4" t="s">
        <v>20</v>
      </c>
      <c r="F273" s="4" t="s">
        <v>153</v>
      </c>
      <c r="G273" s="4">
        <v>52</v>
      </c>
      <c r="H273" s="4">
        <v>2800</v>
      </c>
      <c r="I273" s="4">
        <v>145600</v>
      </c>
      <c r="J273" s="4">
        <v>3</v>
      </c>
      <c r="K273" s="4" t="s">
        <v>122</v>
      </c>
    </row>
    <row r="274" spans="1:11" x14ac:dyDescent="0.35">
      <c r="A274" s="2" t="s">
        <v>445</v>
      </c>
      <c r="B274" s="3">
        <v>45424</v>
      </c>
      <c r="C274" s="2" t="s">
        <v>74</v>
      </c>
      <c r="D274" s="2" t="s">
        <v>35</v>
      </c>
      <c r="E274" s="2" t="s">
        <v>20</v>
      </c>
      <c r="F274" s="2" t="s">
        <v>21</v>
      </c>
      <c r="G274" s="2">
        <v>12</v>
      </c>
      <c r="H274" s="2">
        <v>3500</v>
      </c>
      <c r="I274" s="2">
        <v>42000</v>
      </c>
      <c r="J274" s="2">
        <v>0</v>
      </c>
      <c r="K274" s="2" t="s">
        <v>46</v>
      </c>
    </row>
    <row r="275" spans="1:11" x14ac:dyDescent="0.35">
      <c r="A275" s="4" t="s">
        <v>446</v>
      </c>
      <c r="B275" s="4" t="s">
        <v>447</v>
      </c>
      <c r="C275" s="4" t="s">
        <v>40</v>
      </c>
      <c r="D275" s="4" t="s">
        <v>35</v>
      </c>
      <c r="E275" s="4" t="s">
        <v>20</v>
      </c>
      <c r="F275" s="4" t="s">
        <v>52</v>
      </c>
      <c r="G275" s="4">
        <v>141</v>
      </c>
      <c r="H275" s="4">
        <v>450</v>
      </c>
      <c r="I275" s="4">
        <v>63450</v>
      </c>
      <c r="J275" s="4">
        <v>0</v>
      </c>
      <c r="K275" s="4" t="s">
        <v>42</v>
      </c>
    </row>
    <row r="276" spans="1:11" x14ac:dyDescent="0.35">
      <c r="A276" s="2" t="s">
        <v>90</v>
      </c>
      <c r="B276" s="3">
        <v>45393</v>
      </c>
      <c r="C276" s="2" t="s">
        <v>69</v>
      </c>
      <c r="D276" s="2" t="s">
        <v>13</v>
      </c>
      <c r="E276" s="2" t="s">
        <v>14</v>
      </c>
      <c r="F276" s="2" t="s">
        <v>15</v>
      </c>
      <c r="G276" s="2">
        <v>23</v>
      </c>
      <c r="H276" s="2">
        <v>1200</v>
      </c>
      <c r="I276" s="2">
        <v>27600</v>
      </c>
      <c r="J276" s="2">
        <v>1</v>
      </c>
      <c r="K276" s="2" t="s">
        <v>28</v>
      </c>
    </row>
    <row r="277" spans="1:11" x14ac:dyDescent="0.35">
      <c r="A277" s="4" t="s">
        <v>448</v>
      </c>
      <c r="B277" s="4" t="s">
        <v>449</v>
      </c>
      <c r="C277" s="4" t="s">
        <v>83</v>
      </c>
      <c r="D277" s="4" t="s">
        <v>26</v>
      </c>
      <c r="E277" s="4" t="s">
        <v>31</v>
      </c>
      <c r="F277" s="4" t="s">
        <v>55</v>
      </c>
      <c r="G277" s="4">
        <v>134</v>
      </c>
      <c r="H277" s="4">
        <v>1100</v>
      </c>
      <c r="I277" s="4">
        <v>147400</v>
      </c>
      <c r="J277" s="4">
        <v>8</v>
      </c>
      <c r="K277" s="4" t="s">
        <v>33</v>
      </c>
    </row>
    <row r="278" spans="1:11" x14ac:dyDescent="0.35">
      <c r="A278" s="2" t="s">
        <v>450</v>
      </c>
      <c r="B278" s="3">
        <v>45406</v>
      </c>
      <c r="C278" s="2" t="s">
        <v>125</v>
      </c>
      <c r="D278" s="2"/>
      <c r="E278" s="2" t="s">
        <v>14</v>
      </c>
      <c r="F278" s="2" t="s">
        <v>70</v>
      </c>
      <c r="G278" s="2">
        <v>94</v>
      </c>
      <c r="H278" s="2">
        <v>1800</v>
      </c>
      <c r="I278" s="2">
        <v>169200</v>
      </c>
      <c r="J278" s="2">
        <v>9</v>
      </c>
      <c r="K278" s="2" t="s">
        <v>122</v>
      </c>
    </row>
    <row r="279" spans="1:11" x14ac:dyDescent="0.35">
      <c r="A279" s="4" t="s">
        <v>451</v>
      </c>
      <c r="B279" s="5">
        <v>45356</v>
      </c>
      <c r="C279" s="4" t="s">
        <v>118</v>
      </c>
      <c r="D279" s="4" t="s">
        <v>19</v>
      </c>
      <c r="E279" s="4" t="s">
        <v>20</v>
      </c>
      <c r="F279" s="4" t="s">
        <v>21</v>
      </c>
      <c r="G279" s="4">
        <v>24</v>
      </c>
      <c r="H279" s="4" t="s">
        <v>452</v>
      </c>
      <c r="I279" s="4">
        <v>84000</v>
      </c>
      <c r="J279" s="4">
        <v>0</v>
      </c>
      <c r="K279" s="4" t="s">
        <v>16</v>
      </c>
    </row>
    <row r="280" spans="1:11" x14ac:dyDescent="0.35">
      <c r="A280" s="2" t="s">
        <v>453</v>
      </c>
      <c r="B280" s="2" t="s">
        <v>454</v>
      </c>
      <c r="C280" s="2" t="s">
        <v>156</v>
      </c>
      <c r="D280" s="2" t="s">
        <v>79</v>
      </c>
      <c r="E280" s="2" t="s">
        <v>31</v>
      </c>
      <c r="F280" s="2" t="s">
        <v>81</v>
      </c>
      <c r="G280" s="2">
        <v>128</v>
      </c>
      <c r="H280" s="2">
        <v>650</v>
      </c>
      <c r="I280" s="2">
        <v>83200</v>
      </c>
      <c r="J280" s="2">
        <v>7</v>
      </c>
      <c r="K280" s="2" t="s">
        <v>122</v>
      </c>
    </row>
    <row r="281" spans="1:11" x14ac:dyDescent="0.35">
      <c r="A281" s="4" t="s">
        <v>455</v>
      </c>
      <c r="B281" s="5">
        <v>45649</v>
      </c>
      <c r="C281" s="4" t="s">
        <v>44</v>
      </c>
      <c r="D281" s="4" t="s">
        <v>250</v>
      </c>
      <c r="E281" s="4" t="s">
        <v>31</v>
      </c>
      <c r="F281" s="4" t="s">
        <v>81</v>
      </c>
      <c r="G281" s="4">
        <v>84</v>
      </c>
      <c r="H281" s="4">
        <v>650</v>
      </c>
      <c r="I281" s="4">
        <v>54600</v>
      </c>
      <c r="J281" s="4">
        <v>1</v>
      </c>
      <c r="K281" s="4" t="s">
        <v>28</v>
      </c>
    </row>
    <row r="282" spans="1:11" x14ac:dyDescent="0.35">
      <c r="A282" s="2" t="s">
        <v>456</v>
      </c>
      <c r="B282" s="2" t="s">
        <v>457</v>
      </c>
      <c r="C282" s="2" t="s">
        <v>418</v>
      </c>
      <c r="D282" s="2" t="s">
        <v>79</v>
      </c>
      <c r="E282" s="2" t="s">
        <v>14</v>
      </c>
      <c r="F282" s="2" t="s">
        <v>171</v>
      </c>
      <c r="G282" s="2">
        <v>84</v>
      </c>
      <c r="H282" s="2">
        <v>700</v>
      </c>
      <c r="I282" s="2">
        <v>44739.302969943943</v>
      </c>
      <c r="J282" s="2">
        <v>4</v>
      </c>
      <c r="K282" s="2" t="s">
        <v>46</v>
      </c>
    </row>
    <row r="283" spans="1:11" x14ac:dyDescent="0.35">
      <c r="A283" s="4" t="s">
        <v>458</v>
      </c>
      <c r="B283" s="4" t="s">
        <v>459</v>
      </c>
      <c r="C283" s="4" t="s">
        <v>109</v>
      </c>
      <c r="D283" s="4" t="s">
        <v>54</v>
      </c>
      <c r="E283" s="4" t="s">
        <v>20</v>
      </c>
      <c r="F283" s="4" t="s">
        <v>52</v>
      </c>
      <c r="G283" s="4">
        <v>89</v>
      </c>
      <c r="H283" s="4">
        <v>450</v>
      </c>
      <c r="I283" s="4">
        <v>40050</v>
      </c>
      <c r="J283" s="4">
        <v>0</v>
      </c>
      <c r="K283" s="4" t="s">
        <v>28</v>
      </c>
    </row>
    <row r="284" spans="1:11" x14ac:dyDescent="0.35">
      <c r="A284" s="2" t="s">
        <v>460</v>
      </c>
      <c r="B284" s="3">
        <v>45344</v>
      </c>
      <c r="C284" s="2" t="s">
        <v>125</v>
      </c>
      <c r="D284" s="2" t="s">
        <v>35</v>
      </c>
      <c r="E284" s="2" t="s">
        <v>14</v>
      </c>
      <c r="F284" s="2" t="s">
        <v>15</v>
      </c>
      <c r="G284" s="2">
        <v>188</v>
      </c>
      <c r="H284" s="2">
        <v>1200</v>
      </c>
      <c r="I284" s="2">
        <v>225600</v>
      </c>
      <c r="J284" s="2">
        <v>0</v>
      </c>
      <c r="K284" s="2" t="s">
        <v>22</v>
      </c>
    </row>
    <row r="285" spans="1:11" x14ac:dyDescent="0.35">
      <c r="A285" s="4" t="s">
        <v>461</v>
      </c>
      <c r="B285" s="5">
        <v>45530</v>
      </c>
      <c r="C285" s="4" t="s">
        <v>25</v>
      </c>
      <c r="D285" s="4" t="s">
        <v>13</v>
      </c>
      <c r="E285" s="4" t="s">
        <v>31</v>
      </c>
      <c r="F285" s="4" t="s">
        <v>45</v>
      </c>
      <c r="G285" s="4">
        <v>17</v>
      </c>
      <c r="H285" s="4">
        <v>1200</v>
      </c>
      <c r="I285" s="4">
        <v>20400</v>
      </c>
      <c r="J285" s="4">
        <v>0</v>
      </c>
      <c r="K285" s="4" t="s">
        <v>37</v>
      </c>
    </row>
    <row r="286" spans="1:11" x14ac:dyDescent="0.35">
      <c r="A286" s="2" t="s">
        <v>462</v>
      </c>
      <c r="B286" s="3">
        <v>45322</v>
      </c>
      <c r="C286" s="2" t="s">
        <v>83</v>
      </c>
      <c r="D286" s="2" t="s">
        <v>35</v>
      </c>
      <c r="E286" s="2" t="s">
        <v>31</v>
      </c>
      <c r="F286" s="2" t="s">
        <v>58</v>
      </c>
      <c r="G286" s="2">
        <v>-172</v>
      </c>
      <c r="H286" s="2">
        <v>850</v>
      </c>
      <c r="I286" s="2">
        <v>146200</v>
      </c>
      <c r="J286" s="2">
        <v>11</v>
      </c>
      <c r="K286" s="2" t="s">
        <v>16</v>
      </c>
    </row>
    <row r="287" spans="1:11" x14ac:dyDescent="0.35">
      <c r="A287" s="4" t="s">
        <v>463</v>
      </c>
      <c r="B287" s="5">
        <v>45439</v>
      </c>
      <c r="C287" s="4" t="s">
        <v>18</v>
      </c>
      <c r="D287" s="4" t="s">
        <v>35</v>
      </c>
      <c r="E287" s="4" t="s">
        <v>20</v>
      </c>
      <c r="F287" s="4" t="s">
        <v>153</v>
      </c>
      <c r="G287" s="4">
        <v>164</v>
      </c>
      <c r="H287" s="4">
        <v>2800</v>
      </c>
      <c r="I287" s="4">
        <v>459200</v>
      </c>
      <c r="J287" s="4">
        <v>15</v>
      </c>
      <c r="K287" s="4" t="s">
        <v>28</v>
      </c>
    </row>
    <row r="288" spans="1:11" x14ac:dyDescent="0.35">
      <c r="A288" s="2" t="s">
        <v>464</v>
      </c>
      <c r="B288" s="3">
        <v>45372</v>
      </c>
      <c r="C288" s="2" t="s">
        <v>51</v>
      </c>
      <c r="D288" s="2" t="s">
        <v>367</v>
      </c>
      <c r="E288" s="2" t="s">
        <v>20</v>
      </c>
      <c r="F288" s="2" t="s">
        <v>21</v>
      </c>
      <c r="G288" s="2">
        <v>52</v>
      </c>
      <c r="H288" s="2">
        <v>3500</v>
      </c>
      <c r="I288" s="2">
        <v>182000</v>
      </c>
      <c r="J288" s="2">
        <v>3</v>
      </c>
      <c r="K288" s="2" t="s">
        <v>122</v>
      </c>
    </row>
    <row r="289" spans="1:11" x14ac:dyDescent="0.35">
      <c r="A289" s="4" t="s">
        <v>465</v>
      </c>
      <c r="B289" s="5">
        <v>45642</v>
      </c>
      <c r="C289" s="4" t="s">
        <v>51</v>
      </c>
      <c r="D289" s="4" t="s">
        <v>26</v>
      </c>
      <c r="E289" s="4" t="s">
        <v>31</v>
      </c>
      <c r="F289" s="4" t="s">
        <v>55</v>
      </c>
      <c r="G289" s="4">
        <v>56</v>
      </c>
      <c r="H289" s="4">
        <v>1100</v>
      </c>
      <c r="I289" s="4">
        <v>61600</v>
      </c>
      <c r="J289" s="4">
        <v>5</v>
      </c>
      <c r="K289" s="4" t="s">
        <v>22</v>
      </c>
    </row>
    <row r="290" spans="1:11" x14ac:dyDescent="0.35">
      <c r="A290" s="2" t="s">
        <v>466</v>
      </c>
      <c r="B290" s="3">
        <v>45419</v>
      </c>
      <c r="C290" s="2" t="s">
        <v>96</v>
      </c>
      <c r="D290" s="2" t="s">
        <v>35</v>
      </c>
      <c r="E290" s="2" t="s">
        <v>31</v>
      </c>
      <c r="F290" s="2" t="s">
        <v>45</v>
      </c>
      <c r="G290" s="2">
        <v>103</v>
      </c>
      <c r="H290" s="2">
        <v>1200</v>
      </c>
      <c r="I290" s="2"/>
      <c r="J290" s="2">
        <v>0</v>
      </c>
      <c r="K290" s="2" t="s">
        <v>42</v>
      </c>
    </row>
    <row r="291" spans="1:11" x14ac:dyDescent="0.35">
      <c r="A291" s="4" t="s">
        <v>467</v>
      </c>
      <c r="B291" s="5">
        <v>45300</v>
      </c>
      <c r="C291" s="4" t="s">
        <v>69</v>
      </c>
      <c r="D291" s="4" t="s">
        <v>54</v>
      </c>
      <c r="E291" s="4" t="s">
        <v>20</v>
      </c>
      <c r="F291" s="4" t="s">
        <v>36</v>
      </c>
      <c r="G291" s="4">
        <v>139</v>
      </c>
      <c r="H291" s="4">
        <v>900</v>
      </c>
      <c r="I291" s="4">
        <v>125100</v>
      </c>
      <c r="J291" s="4">
        <v>9</v>
      </c>
      <c r="K291" s="4" t="s">
        <v>16</v>
      </c>
    </row>
    <row r="292" spans="1:11" x14ac:dyDescent="0.35">
      <c r="A292" s="2" t="s">
        <v>468</v>
      </c>
      <c r="B292" s="3">
        <v>45627</v>
      </c>
      <c r="C292" s="2" t="s">
        <v>156</v>
      </c>
      <c r="D292" s="2" t="s">
        <v>79</v>
      </c>
      <c r="E292" s="2" t="s">
        <v>20</v>
      </c>
      <c r="F292" s="2" t="s">
        <v>153</v>
      </c>
      <c r="G292" s="2">
        <v>119</v>
      </c>
      <c r="H292" s="2">
        <v>2800</v>
      </c>
      <c r="I292" s="2">
        <v>333200</v>
      </c>
      <c r="J292" s="2">
        <v>5</v>
      </c>
      <c r="K292" s="2" t="s">
        <v>22</v>
      </c>
    </row>
    <row r="293" spans="1:11" x14ac:dyDescent="0.35">
      <c r="A293" s="4" t="s">
        <v>469</v>
      </c>
      <c r="B293" s="5">
        <v>45373</v>
      </c>
      <c r="C293" s="4" t="s">
        <v>12</v>
      </c>
      <c r="D293" s="4" t="s">
        <v>79</v>
      </c>
      <c r="E293" s="4" t="s">
        <v>20</v>
      </c>
      <c r="F293" s="4" t="s">
        <v>52</v>
      </c>
      <c r="G293" s="4">
        <v>117</v>
      </c>
      <c r="H293" s="4">
        <v>450</v>
      </c>
      <c r="I293" s="4">
        <v>52650</v>
      </c>
      <c r="J293" s="4">
        <v>0</v>
      </c>
      <c r="K293" s="4" t="s">
        <v>37</v>
      </c>
    </row>
    <row r="294" spans="1:11" x14ac:dyDescent="0.35">
      <c r="A294" s="2" t="s">
        <v>470</v>
      </c>
      <c r="B294" s="3">
        <v>45478</v>
      </c>
      <c r="C294" s="2" t="s">
        <v>471</v>
      </c>
      <c r="D294" s="2" t="s">
        <v>13</v>
      </c>
      <c r="E294" s="2" t="s">
        <v>20</v>
      </c>
      <c r="F294" s="2" t="s">
        <v>153</v>
      </c>
      <c r="G294" s="2">
        <v>51</v>
      </c>
      <c r="H294" s="2">
        <v>2800</v>
      </c>
      <c r="I294" s="2">
        <v>142800</v>
      </c>
      <c r="J294" s="2">
        <v>5</v>
      </c>
      <c r="K294" s="2" t="s">
        <v>62</v>
      </c>
    </row>
    <row r="295" spans="1:11" x14ac:dyDescent="0.35">
      <c r="A295" s="4" t="s">
        <v>472</v>
      </c>
      <c r="B295" s="5">
        <v>45518</v>
      </c>
      <c r="C295" s="4" t="s">
        <v>88</v>
      </c>
      <c r="D295" s="4" t="s">
        <v>93</v>
      </c>
      <c r="E295" s="4" t="s">
        <v>14</v>
      </c>
      <c r="F295" s="4" t="s">
        <v>171</v>
      </c>
      <c r="G295" s="4">
        <v>193</v>
      </c>
      <c r="H295" s="4">
        <v>700</v>
      </c>
      <c r="I295" s="4">
        <v>135100</v>
      </c>
      <c r="J295" s="4">
        <v>10</v>
      </c>
      <c r="K295" s="4" t="s">
        <v>16</v>
      </c>
    </row>
    <row r="296" spans="1:11" x14ac:dyDescent="0.35">
      <c r="A296" s="2" t="s">
        <v>473</v>
      </c>
      <c r="B296" s="3">
        <v>45579</v>
      </c>
      <c r="C296" s="2" t="s">
        <v>156</v>
      </c>
      <c r="D296" s="2" t="s">
        <v>19</v>
      </c>
      <c r="E296" s="2" t="s">
        <v>20</v>
      </c>
      <c r="F296" s="2" t="s">
        <v>36</v>
      </c>
      <c r="G296" s="2">
        <v>111</v>
      </c>
      <c r="H296" s="2">
        <v>900</v>
      </c>
      <c r="I296" s="2">
        <v>99900</v>
      </c>
      <c r="J296" s="2">
        <v>3</v>
      </c>
      <c r="K296" s="2" t="s">
        <v>42</v>
      </c>
    </row>
    <row r="297" spans="1:11" x14ac:dyDescent="0.35">
      <c r="A297" s="4" t="s">
        <v>474</v>
      </c>
      <c r="B297" s="5">
        <v>45435</v>
      </c>
      <c r="C297" s="4" t="s">
        <v>96</v>
      </c>
      <c r="D297" s="4" t="s">
        <v>13</v>
      </c>
      <c r="E297" s="4" t="s">
        <v>14</v>
      </c>
      <c r="F297" s="4" t="s">
        <v>70</v>
      </c>
      <c r="G297" s="4">
        <v>65</v>
      </c>
      <c r="H297" s="4">
        <v>1800</v>
      </c>
      <c r="I297" s="4">
        <v>117000</v>
      </c>
      <c r="J297" s="4">
        <v>5</v>
      </c>
      <c r="K297" s="4" t="s">
        <v>22</v>
      </c>
    </row>
    <row r="298" spans="1:11" x14ac:dyDescent="0.35">
      <c r="A298" s="2" t="s">
        <v>475</v>
      </c>
      <c r="B298" s="3">
        <v>45457</v>
      </c>
      <c r="C298" s="2" t="s">
        <v>44</v>
      </c>
      <c r="D298" s="2" t="s">
        <v>65</v>
      </c>
      <c r="E298" s="2" t="s">
        <v>31</v>
      </c>
      <c r="F298" s="2" t="s">
        <v>159</v>
      </c>
      <c r="G298" s="2">
        <v>200</v>
      </c>
      <c r="H298" s="2">
        <v>1800</v>
      </c>
      <c r="I298" s="2">
        <v>533933.81263307668</v>
      </c>
      <c r="J298" s="2">
        <v>20</v>
      </c>
      <c r="K298" s="2" t="s">
        <v>28</v>
      </c>
    </row>
    <row r="299" spans="1:11" x14ac:dyDescent="0.35">
      <c r="A299" s="4" t="s">
        <v>476</v>
      </c>
      <c r="B299" s="5">
        <v>45582</v>
      </c>
      <c r="C299" s="4" t="s">
        <v>83</v>
      </c>
      <c r="D299" s="4" t="s">
        <v>49</v>
      </c>
      <c r="E299" s="4" t="s">
        <v>20</v>
      </c>
      <c r="F299" s="4" t="s">
        <v>133</v>
      </c>
      <c r="G299" s="4">
        <v>168</v>
      </c>
      <c r="H299" s="4">
        <v>1200</v>
      </c>
      <c r="I299" s="4">
        <v>201600</v>
      </c>
      <c r="J299" s="4">
        <v>7</v>
      </c>
      <c r="K299" s="4" t="s">
        <v>22</v>
      </c>
    </row>
    <row r="300" spans="1:11" x14ac:dyDescent="0.35">
      <c r="A300" s="2" t="s">
        <v>477</v>
      </c>
      <c r="B300" s="3">
        <v>45597</v>
      </c>
      <c r="C300" s="2" t="s">
        <v>74</v>
      </c>
      <c r="D300" s="2" t="s">
        <v>35</v>
      </c>
      <c r="E300" s="2" t="s">
        <v>31</v>
      </c>
      <c r="F300" s="2" t="s">
        <v>55</v>
      </c>
      <c r="G300" s="2">
        <v>61</v>
      </c>
      <c r="H300" s="2">
        <v>1100</v>
      </c>
      <c r="I300" s="2">
        <v>67100</v>
      </c>
      <c r="J300" s="2">
        <v>6</v>
      </c>
      <c r="K300" s="2" t="s">
        <v>42</v>
      </c>
    </row>
    <row r="301" spans="1:11" x14ac:dyDescent="0.35">
      <c r="A301" s="4" t="s">
        <v>478</v>
      </c>
      <c r="B301" s="5">
        <v>45577</v>
      </c>
      <c r="C301" s="4" t="s">
        <v>74</v>
      </c>
      <c r="D301" s="4" t="s">
        <v>93</v>
      </c>
      <c r="E301" s="4" t="s">
        <v>20</v>
      </c>
      <c r="F301" s="4" t="s">
        <v>52</v>
      </c>
      <c r="G301" s="4">
        <v>31</v>
      </c>
      <c r="H301" s="4">
        <v>450</v>
      </c>
      <c r="I301" s="4">
        <v>13950</v>
      </c>
      <c r="J301" s="4">
        <v>0</v>
      </c>
      <c r="K301" s="4" t="s">
        <v>16</v>
      </c>
    </row>
    <row r="302" spans="1:11" x14ac:dyDescent="0.35">
      <c r="A302" s="2" t="s">
        <v>479</v>
      </c>
      <c r="B302" s="3">
        <v>45591</v>
      </c>
      <c r="C302" s="2" t="s">
        <v>60</v>
      </c>
      <c r="D302" s="2" t="s">
        <v>26</v>
      </c>
      <c r="E302" s="2" t="s">
        <v>31</v>
      </c>
      <c r="F302" s="2" t="s">
        <v>58</v>
      </c>
      <c r="G302" s="2">
        <v>181</v>
      </c>
      <c r="H302" s="2">
        <v>850</v>
      </c>
      <c r="I302" s="2"/>
      <c r="J302" s="2">
        <v>0</v>
      </c>
      <c r="K302" s="2" t="s">
        <v>16</v>
      </c>
    </row>
    <row r="303" spans="1:11" x14ac:dyDescent="0.35">
      <c r="A303" s="4" t="s">
        <v>480</v>
      </c>
      <c r="B303" s="5">
        <v>45432</v>
      </c>
      <c r="C303" s="4" t="s">
        <v>125</v>
      </c>
      <c r="D303" s="4" t="s">
        <v>26</v>
      </c>
      <c r="E303" s="4" t="s">
        <v>20</v>
      </c>
      <c r="F303" s="4" t="s">
        <v>52</v>
      </c>
      <c r="G303" s="4">
        <v>177</v>
      </c>
      <c r="H303" s="4">
        <v>450</v>
      </c>
      <c r="I303" s="4">
        <v>79650</v>
      </c>
      <c r="J303" s="4">
        <v>16</v>
      </c>
      <c r="K303" s="4" t="s">
        <v>37</v>
      </c>
    </row>
    <row r="304" spans="1:11" x14ac:dyDescent="0.35">
      <c r="A304" s="2" t="s">
        <v>481</v>
      </c>
      <c r="B304" s="3">
        <v>45599</v>
      </c>
      <c r="C304" s="2" t="s">
        <v>51</v>
      </c>
      <c r="D304" s="2" t="s">
        <v>93</v>
      </c>
      <c r="E304" s="2" t="s">
        <v>31</v>
      </c>
      <c r="F304" s="2" t="s">
        <v>45</v>
      </c>
      <c r="G304" s="2">
        <v>128</v>
      </c>
      <c r="H304" s="2">
        <v>1200</v>
      </c>
      <c r="I304" s="2">
        <v>153600</v>
      </c>
      <c r="J304" s="2">
        <v>0</v>
      </c>
      <c r="K304" s="2" t="s">
        <v>122</v>
      </c>
    </row>
    <row r="305" spans="1:11" x14ac:dyDescent="0.35">
      <c r="A305" s="4" t="s">
        <v>482</v>
      </c>
      <c r="B305" s="5">
        <v>45356</v>
      </c>
      <c r="C305" s="4" t="s">
        <v>64</v>
      </c>
      <c r="D305" s="4" t="s">
        <v>41</v>
      </c>
      <c r="E305" s="4" t="s">
        <v>31</v>
      </c>
      <c r="F305" s="4" t="s">
        <v>58</v>
      </c>
      <c r="G305" s="4">
        <v>184</v>
      </c>
      <c r="H305" s="4">
        <v>850</v>
      </c>
      <c r="I305" s="4">
        <v>156400</v>
      </c>
      <c r="J305" s="4">
        <v>3</v>
      </c>
      <c r="K305" s="4" t="s">
        <v>37</v>
      </c>
    </row>
    <row r="306" spans="1:11" x14ac:dyDescent="0.35">
      <c r="A306" s="2" t="s">
        <v>483</v>
      </c>
      <c r="B306" s="2" t="s">
        <v>484</v>
      </c>
      <c r="C306" s="2" t="s">
        <v>109</v>
      </c>
      <c r="D306" s="2" t="s">
        <v>13</v>
      </c>
      <c r="E306" s="2" t="s">
        <v>20</v>
      </c>
      <c r="F306" s="2" t="s">
        <v>52</v>
      </c>
      <c r="G306" s="2">
        <v>132</v>
      </c>
      <c r="H306" s="2">
        <v>450</v>
      </c>
      <c r="I306" s="2">
        <v>59400</v>
      </c>
      <c r="J306" s="2">
        <v>5</v>
      </c>
      <c r="K306" s="2" t="s">
        <v>16</v>
      </c>
    </row>
    <row r="307" spans="1:11" x14ac:dyDescent="0.35">
      <c r="A307" s="4" t="s">
        <v>485</v>
      </c>
      <c r="B307" s="5">
        <v>45579</v>
      </c>
      <c r="C307" s="4" t="s">
        <v>64</v>
      </c>
      <c r="D307" s="4" t="s">
        <v>54</v>
      </c>
      <c r="E307" s="4" t="s">
        <v>20</v>
      </c>
      <c r="F307" s="4" t="s">
        <v>21</v>
      </c>
      <c r="G307" s="4">
        <v>57</v>
      </c>
      <c r="H307" s="4">
        <v>3500</v>
      </c>
      <c r="I307" s="4">
        <v>199500</v>
      </c>
      <c r="J307" s="4">
        <v>4</v>
      </c>
      <c r="K307" s="4" t="s">
        <v>28</v>
      </c>
    </row>
    <row r="308" spans="1:11" x14ac:dyDescent="0.35">
      <c r="A308" s="2" t="s">
        <v>486</v>
      </c>
      <c r="B308" s="3">
        <v>45540</v>
      </c>
      <c r="C308" s="2" t="s">
        <v>74</v>
      </c>
      <c r="D308" s="2" t="s">
        <v>54</v>
      </c>
      <c r="E308" s="2" t="s">
        <v>20</v>
      </c>
      <c r="F308" s="2" t="s">
        <v>36</v>
      </c>
      <c r="G308" s="2">
        <v>-17</v>
      </c>
      <c r="H308" s="2">
        <v>900</v>
      </c>
      <c r="I308" s="2">
        <v>15300</v>
      </c>
      <c r="J308" s="2">
        <v>0</v>
      </c>
      <c r="K308" s="2" t="s">
        <v>28</v>
      </c>
    </row>
    <row r="309" spans="1:11" x14ac:dyDescent="0.35">
      <c r="A309" s="4" t="s">
        <v>487</v>
      </c>
      <c r="B309" s="4" t="s">
        <v>488</v>
      </c>
      <c r="C309" s="4" t="s">
        <v>30</v>
      </c>
      <c r="D309" s="4" t="s">
        <v>41</v>
      </c>
      <c r="E309" s="4" t="s">
        <v>31</v>
      </c>
      <c r="F309" s="4" t="s">
        <v>81</v>
      </c>
      <c r="G309" s="4">
        <v>31</v>
      </c>
      <c r="H309" s="4">
        <v>650</v>
      </c>
      <c r="I309" s="4">
        <v>20150</v>
      </c>
      <c r="J309" s="4">
        <v>3</v>
      </c>
      <c r="K309" s="4" t="s">
        <v>122</v>
      </c>
    </row>
    <row r="310" spans="1:11" x14ac:dyDescent="0.35">
      <c r="A310" s="2" t="s">
        <v>489</v>
      </c>
      <c r="B310" s="3">
        <v>45425</v>
      </c>
      <c r="C310" s="2" t="s">
        <v>156</v>
      </c>
      <c r="D310" s="2" t="s">
        <v>41</v>
      </c>
      <c r="E310" s="2" t="s">
        <v>31</v>
      </c>
      <c r="F310" s="2" t="s">
        <v>159</v>
      </c>
      <c r="G310" s="2">
        <v>173</v>
      </c>
      <c r="H310" s="2">
        <v>1800</v>
      </c>
      <c r="I310" s="2">
        <v>311400</v>
      </c>
      <c r="J310" s="2">
        <v>0</v>
      </c>
      <c r="K310" s="2" t="s">
        <v>16</v>
      </c>
    </row>
    <row r="311" spans="1:11" x14ac:dyDescent="0.35">
      <c r="A311" s="4" t="s">
        <v>490</v>
      </c>
      <c r="B311" s="5">
        <v>45315</v>
      </c>
      <c r="C311" s="4" t="s">
        <v>25</v>
      </c>
      <c r="D311" s="4" t="s">
        <v>26</v>
      </c>
      <c r="E311" s="4" t="s">
        <v>31</v>
      </c>
      <c r="F311" s="4" t="s">
        <v>81</v>
      </c>
      <c r="G311" s="4">
        <v>117</v>
      </c>
      <c r="H311" s="4">
        <v>650</v>
      </c>
      <c r="I311" s="4">
        <v>76050</v>
      </c>
      <c r="J311" s="4">
        <v>2</v>
      </c>
      <c r="K311" s="4" t="s">
        <v>42</v>
      </c>
    </row>
    <row r="312" spans="1:11" x14ac:dyDescent="0.35">
      <c r="A312" s="2" t="s">
        <v>491</v>
      </c>
      <c r="B312" s="2" t="s">
        <v>210</v>
      </c>
      <c r="C312" s="2" t="s">
        <v>12</v>
      </c>
      <c r="D312" s="2" t="s">
        <v>93</v>
      </c>
      <c r="E312" s="2" t="s">
        <v>31</v>
      </c>
      <c r="F312" s="2" t="s">
        <v>32</v>
      </c>
      <c r="G312" s="2">
        <v>115</v>
      </c>
      <c r="H312" s="2">
        <v>1400</v>
      </c>
      <c r="I312" s="2">
        <v>161000</v>
      </c>
      <c r="J312" s="2">
        <v>0</v>
      </c>
      <c r="K312" s="2" t="s">
        <v>46</v>
      </c>
    </row>
    <row r="313" spans="1:11" x14ac:dyDescent="0.35">
      <c r="A313" s="4" t="s">
        <v>492</v>
      </c>
      <c r="B313" s="5">
        <v>45427</v>
      </c>
      <c r="C313" s="4" t="s">
        <v>106</v>
      </c>
      <c r="D313" s="4" t="s">
        <v>54</v>
      </c>
      <c r="E313" s="4" t="s">
        <v>14</v>
      </c>
      <c r="F313" s="4" t="s">
        <v>72</v>
      </c>
      <c r="G313" s="4">
        <v>130</v>
      </c>
      <c r="H313" s="4">
        <v>400</v>
      </c>
      <c r="I313" s="4">
        <v>52000</v>
      </c>
      <c r="J313" s="4">
        <v>12</v>
      </c>
      <c r="K313" s="4" t="s">
        <v>28</v>
      </c>
    </row>
    <row r="314" spans="1:11" x14ac:dyDescent="0.35">
      <c r="A314" s="2" t="s">
        <v>493</v>
      </c>
      <c r="B314" s="2" t="s">
        <v>494</v>
      </c>
      <c r="C314" s="2" t="s">
        <v>69</v>
      </c>
      <c r="D314" s="2" t="s">
        <v>13</v>
      </c>
      <c r="E314" s="2" t="s">
        <v>31</v>
      </c>
      <c r="F314" s="2" t="s">
        <v>159</v>
      </c>
      <c r="G314" s="2">
        <v>89</v>
      </c>
      <c r="H314" s="2">
        <v>1800</v>
      </c>
      <c r="I314" s="2">
        <v>160200</v>
      </c>
      <c r="J314" s="2">
        <v>0</v>
      </c>
      <c r="K314" s="2" t="s">
        <v>37</v>
      </c>
    </row>
    <row r="315" spans="1:11" x14ac:dyDescent="0.35">
      <c r="A315" s="4" t="s">
        <v>495</v>
      </c>
      <c r="B315" s="5">
        <v>45350</v>
      </c>
      <c r="C315" s="4" t="s">
        <v>18</v>
      </c>
      <c r="D315" s="4" t="s">
        <v>54</v>
      </c>
      <c r="E315" s="4" t="s">
        <v>20</v>
      </c>
      <c r="F315" s="4" t="s">
        <v>36</v>
      </c>
      <c r="G315" s="4">
        <v>181</v>
      </c>
      <c r="H315" s="4">
        <v>900</v>
      </c>
      <c r="I315" s="4">
        <v>162900</v>
      </c>
      <c r="J315" s="4">
        <v>0</v>
      </c>
      <c r="K315" s="4" t="s">
        <v>46</v>
      </c>
    </row>
    <row r="316" spans="1:11" x14ac:dyDescent="0.35">
      <c r="A316" s="2" t="s">
        <v>496</v>
      </c>
      <c r="B316" s="3">
        <v>45612</v>
      </c>
      <c r="C316" s="2" t="s">
        <v>83</v>
      </c>
      <c r="D316" s="2" t="s">
        <v>13</v>
      </c>
      <c r="E316" s="2" t="s">
        <v>14</v>
      </c>
      <c r="F316" s="2" t="s">
        <v>27</v>
      </c>
      <c r="G316" s="2">
        <v>39</v>
      </c>
      <c r="H316" s="2">
        <v>1600</v>
      </c>
      <c r="I316" s="2">
        <v>62400</v>
      </c>
      <c r="J316" s="2">
        <v>2</v>
      </c>
      <c r="K316" s="2" t="s">
        <v>28</v>
      </c>
    </row>
    <row r="317" spans="1:11" x14ac:dyDescent="0.35">
      <c r="A317" s="4" t="s">
        <v>497</v>
      </c>
      <c r="B317" s="4" t="s">
        <v>498</v>
      </c>
      <c r="C317" s="4" t="s">
        <v>156</v>
      </c>
      <c r="D317" s="4"/>
      <c r="E317" s="4" t="s">
        <v>31</v>
      </c>
      <c r="F317" s="4" t="s">
        <v>121</v>
      </c>
      <c r="G317" s="4">
        <v>62</v>
      </c>
      <c r="H317" s="4">
        <v>200</v>
      </c>
      <c r="I317" s="4">
        <v>12400</v>
      </c>
      <c r="J317" s="4">
        <v>2</v>
      </c>
      <c r="K317" s="4" t="s">
        <v>37</v>
      </c>
    </row>
    <row r="318" spans="1:11" x14ac:dyDescent="0.35">
      <c r="A318" s="2" t="s">
        <v>499</v>
      </c>
      <c r="B318" s="3">
        <v>45371</v>
      </c>
      <c r="C318" s="2" t="s">
        <v>18</v>
      </c>
      <c r="D318" s="2" t="s">
        <v>41</v>
      </c>
      <c r="E318" s="2" t="s">
        <v>31</v>
      </c>
      <c r="F318" s="2" t="s">
        <v>55</v>
      </c>
      <c r="G318" s="2">
        <v>130</v>
      </c>
      <c r="H318" s="2">
        <v>1100</v>
      </c>
      <c r="I318" s="2"/>
      <c r="J318" s="2">
        <v>8</v>
      </c>
      <c r="K318" s="2" t="s">
        <v>62</v>
      </c>
    </row>
    <row r="319" spans="1:11" x14ac:dyDescent="0.35">
      <c r="A319" s="4" t="s">
        <v>500</v>
      </c>
      <c r="B319" s="5">
        <v>45562</v>
      </c>
      <c r="C319" s="4" t="s">
        <v>30</v>
      </c>
      <c r="D319" s="4" t="s">
        <v>13</v>
      </c>
      <c r="E319" s="4" t="s">
        <v>20</v>
      </c>
      <c r="F319" s="4" t="s">
        <v>133</v>
      </c>
      <c r="G319" s="4">
        <v>69</v>
      </c>
      <c r="H319" s="4">
        <v>1200</v>
      </c>
      <c r="I319" s="4">
        <v>82800</v>
      </c>
      <c r="J319" s="4">
        <v>5</v>
      </c>
      <c r="K319" s="4" t="s">
        <v>85</v>
      </c>
    </row>
    <row r="320" spans="1:11" x14ac:dyDescent="0.35">
      <c r="A320" s="2" t="s">
        <v>391</v>
      </c>
      <c r="B320" s="3">
        <v>45575</v>
      </c>
      <c r="C320" s="2" t="s">
        <v>106</v>
      </c>
      <c r="D320" s="2" t="s">
        <v>19</v>
      </c>
      <c r="E320" s="2" t="s">
        <v>20</v>
      </c>
      <c r="F320" s="2" t="s">
        <v>52</v>
      </c>
      <c r="G320" s="2">
        <v>49</v>
      </c>
      <c r="H320" s="2">
        <v>450</v>
      </c>
      <c r="I320" s="2">
        <v>22050</v>
      </c>
      <c r="J320" s="2">
        <v>0</v>
      </c>
      <c r="K320" s="2" t="s">
        <v>42</v>
      </c>
    </row>
    <row r="321" spans="1:11" x14ac:dyDescent="0.35">
      <c r="A321" s="4" t="s">
        <v>501</v>
      </c>
      <c r="B321" s="5">
        <v>45548</v>
      </c>
      <c r="C321" s="4" t="s">
        <v>69</v>
      </c>
      <c r="D321" s="4" t="s">
        <v>54</v>
      </c>
      <c r="E321" s="4" t="s">
        <v>20</v>
      </c>
      <c r="F321" s="4" t="s">
        <v>97</v>
      </c>
      <c r="G321" s="4">
        <v>126</v>
      </c>
      <c r="H321" s="4">
        <v>500</v>
      </c>
      <c r="I321" s="4">
        <v>63000</v>
      </c>
      <c r="J321" s="4">
        <v>0</v>
      </c>
      <c r="K321" s="4" t="s">
        <v>46</v>
      </c>
    </row>
    <row r="322" spans="1:11" x14ac:dyDescent="0.35">
      <c r="A322" s="2" t="s">
        <v>502</v>
      </c>
      <c r="B322" s="2" t="s">
        <v>503</v>
      </c>
      <c r="C322" s="2" t="s">
        <v>92</v>
      </c>
      <c r="D322" s="2" t="s">
        <v>54</v>
      </c>
      <c r="E322" s="2" t="s">
        <v>14</v>
      </c>
      <c r="F322" s="2" t="s">
        <v>61</v>
      </c>
      <c r="G322" s="2">
        <v>46</v>
      </c>
      <c r="H322" s="2">
        <v>2200</v>
      </c>
      <c r="I322" s="2">
        <v>101200</v>
      </c>
      <c r="J322" s="2">
        <v>2</v>
      </c>
      <c r="K322" s="2" t="s">
        <v>16</v>
      </c>
    </row>
    <row r="323" spans="1:11" x14ac:dyDescent="0.35">
      <c r="A323" s="4" t="s">
        <v>504</v>
      </c>
      <c r="B323" s="5">
        <v>45317</v>
      </c>
      <c r="C323" s="4" t="s">
        <v>40</v>
      </c>
      <c r="D323" s="4" t="s">
        <v>79</v>
      </c>
      <c r="E323" s="4" t="s">
        <v>20</v>
      </c>
      <c r="F323" s="4" t="s">
        <v>36</v>
      </c>
      <c r="G323" s="4">
        <v>129</v>
      </c>
      <c r="H323" s="4">
        <v>900</v>
      </c>
      <c r="I323" s="4">
        <v>116100</v>
      </c>
      <c r="J323" s="4">
        <v>5</v>
      </c>
      <c r="K323" s="4" t="s">
        <v>122</v>
      </c>
    </row>
    <row r="324" spans="1:11" x14ac:dyDescent="0.35">
      <c r="A324" s="2" t="s">
        <v>505</v>
      </c>
      <c r="B324" s="3">
        <v>45544</v>
      </c>
      <c r="C324" s="2" t="s">
        <v>25</v>
      </c>
      <c r="D324" s="2" t="s">
        <v>13</v>
      </c>
      <c r="E324" s="2" t="s">
        <v>31</v>
      </c>
      <c r="F324" s="2" t="s">
        <v>159</v>
      </c>
      <c r="G324" s="2">
        <v>44</v>
      </c>
      <c r="H324" s="2">
        <v>1800</v>
      </c>
      <c r="I324" s="2">
        <v>79200</v>
      </c>
      <c r="J324" s="2">
        <v>2</v>
      </c>
      <c r="K324" s="2" t="s">
        <v>122</v>
      </c>
    </row>
    <row r="325" spans="1:11" x14ac:dyDescent="0.35">
      <c r="A325" s="4" t="s">
        <v>506</v>
      </c>
      <c r="B325" s="5">
        <v>45518</v>
      </c>
      <c r="C325" s="4" t="s">
        <v>92</v>
      </c>
      <c r="D325" s="4" t="s">
        <v>19</v>
      </c>
      <c r="E325" s="4" t="s">
        <v>20</v>
      </c>
      <c r="F325" s="4" t="s">
        <v>36</v>
      </c>
      <c r="G325" s="4">
        <v>45</v>
      </c>
      <c r="H325" s="4">
        <v>900</v>
      </c>
      <c r="I325" s="4">
        <v>40500</v>
      </c>
      <c r="J325" s="4">
        <v>0</v>
      </c>
      <c r="K325" s="4" t="s">
        <v>42</v>
      </c>
    </row>
    <row r="326" spans="1:11" x14ac:dyDescent="0.35">
      <c r="A326" s="2" t="s">
        <v>507</v>
      </c>
      <c r="B326" s="3">
        <v>45590</v>
      </c>
      <c r="C326" s="2" t="s">
        <v>118</v>
      </c>
      <c r="D326" s="2" t="s">
        <v>26</v>
      </c>
      <c r="E326" s="2" t="s">
        <v>31</v>
      </c>
      <c r="F326" s="2" t="s">
        <v>32</v>
      </c>
      <c r="G326" s="2">
        <v>170</v>
      </c>
      <c r="H326" s="2">
        <v>1400</v>
      </c>
      <c r="I326" s="2">
        <v>238000</v>
      </c>
      <c r="J326" s="2">
        <v>10</v>
      </c>
      <c r="K326" s="2" t="s">
        <v>16</v>
      </c>
    </row>
    <row r="327" spans="1:11" x14ac:dyDescent="0.35">
      <c r="A327" s="4" t="s">
        <v>508</v>
      </c>
      <c r="B327" s="4" t="s">
        <v>509</v>
      </c>
      <c r="C327" s="4" t="s">
        <v>109</v>
      </c>
      <c r="D327" s="4" t="s">
        <v>49</v>
      </c>
      <c r="E327" s="4" t="s">
        <v>31</v>
      </c>
      <c r="F327" s="4" t="s">
        <v>55</v>
      </c>
      <c r="G327" s="4">
        <v>120</v>
      </c>
      <c r="H327" s="4">
        <v>1100</v>
      </c>
      <c r="I327" s="4">
        <v>132000</v>
      </c>
      <c r="J327" s="4">
        <v>10</v>
      </c>
      <c r="K327" s="4" t="s">
        <v>46</v>
      </c>
    </row>
    <row r="328" spans="1:11" x14ac:dyDescent="0.35">
      <c r="A328" s="2" t="s">
        <v>510</v>
      </c>
      <c r="B328" s="2" t="s">
        <v>511</v>
      </c>
      <c r="C328" s="2" t="s">
        <v>106</v>
      </c>
      <c r="D328" s="2" t="s">
        <v>65</v>
      </c>
      <c r="E328" s="2" t="s">
        <v>31</v>
      </c>
      <c r="F328" s="2" t="s">
        <v>89</v>
      </c>
      <c r="G328" s="2">
        <v>170</v>
      </c>
      <c r="H328" s="2">
        <v>900</v>
      </c>
      <c r="I328" s="2">
        <v>153000</v>
      </c>
      <c r="J328" s="2">
        <v>0</v>
      </c>
      <c r="K328" s="2" t="s">
        <v>22</v>
      </c>
    </row>
    <row r="329" spans="1:11" x14ac:dyDescent="0.35">
      <c r="A329" s="4" t="s">
        <v>512</v>
      </c>
      <c r="B329" s="5">
        <v>45644</v>
      </c>
      <c r="C329" s="4" t="s">
        <v>262</v>
      </c>
      <c r="D329" s="4" t="s">
        <v>19</v>
      </c>
      <c r="E329" s="4" t="s">
        <v>14</v>
      </c>
      <c r="F329" s="4" t="s">
        <v>70</v>
      </c>
      <c r="G329" s="4">
        <v>57</v>
      </c>
      <c r="H329" s="4">
        <v>1800</v>
      </c>
      <c r="I329" s="4">
        <v>102600</v>
      </c>
      <c r="J329" s="4">
        <v>2</v>
      </c>
      <c r="K329" s="4" t="s">
        <v>122</v>
      </c>
    </row>
    <row r="330" spans="1:11" x14ac:dyDescent="0.35">
      <c r="A330" s="2" t="s">
        <v>513</v>
      </c>
      <c r="B330" s="2" t="s">
        <v>514</v>
      </c>
      <c r="C330" s="2" t="s">
        <v>60</v>
      </c>
      <c r="D330" s="2" t="s">
        <v>54</v>
      </c>
      <c r="E330" s="2" t="s">
        <v>14</v>
      </c>
      <c r="F330" s="2" t="s">
        <v>70</v>
      </c>
      <c r="G330" s="2">
        <v>173</v>
      </c>
      <c r="H330" s="2">
        <v>1800</v>
      </c>
      <c r="I330" s="2">
        <v>311400</v>
      </c>
      <c r="J330" s="2">
        <v>7</v>
      </c>
      <c r="K330" s="2" t="s">
        <v>122</v>
      </c>
    </row>
    <row r="331" spans="1:11" x14ac:dyDescent="0.35">
      <c r="A331" s="4" t="s">
        <v>515</v>
      </c>
      <c r="B331" s="4" t="s">
        <v>223</v>
      </c>
      <c r="C331" s="4" t="s">
        <v>74</v>
      </c>
      <c r="D331" s="4" t="s">
        <v>54</v>
      </c>
      <c r="E331" s="4" t="s">
        <v>20</v>
      </c>
      <c r="F331" s="4" t="s">
        <v>153</v>
      </c>
      <c r="G331" s="4">
        <v>182</v>
      </c>
      <c r="H331" s="4">
        <v>2800</v>
      </c>
      <c r="I331" s="4">
        <v>509600</v>
      </c>
      <c r="J331" s="4">
        <v>18</v>
      </c>
      <c r="K331" s="4" t="s">
        <v>46</v>
      </c>
    </row>
    <row r="332" spans="1:11" x14ac:dyDescent="0.35">
      <c r="A332" s="2" t="s">
        <v>516</v>
      </c>
      <c r="B332" s="2" t="s">
        <v>517</v>
      </c>
      <c r="C332" s="2" t="s">
        <v>118</v>
      </c>
      <c r="D332" s="2" t="s">
        <v>49</v>
      </c>
      <c r="E332" s="2" t="s">
        <v>14</v>
      </c>
      <c r="F332" s="2" t="s">
        <v>70</v>
      </c>
      <c r="G332" s="2">
        <v>47</v>
      </c>
      <c r="H332" s="2">
        <v>1800</v>
      </c>
      <c r="I332" s="2">
        <v>143758.624399069</v>
      </c>
      <c r="J332" s="2">
        <v>0</v>
      </c>
      <c r="K332" s="2" t="s">
        <v>46</v>
      </c>
    </row>
    <row r="333" spans="1:11" x14ac:dyDescent="0.35">
      <c r="A333" s="4" t="s">
        <v>518</v>
      </c>
      <c r="B333" s="5">
        <v>45425</v>
      </c>
      <c r="C333" s="4" t="s">
        <v>156</v>
      </c>
      <c r="D333" s="4"/>
      <c r="E333" s="4" t="s">
        <v>31</v>
      </c>
      <c r="F333" s="4" t="s">
        <v>58</v>
      </c>
      <c r="G333" s="4">
        <v>199</v>
      </c>
      <c r="H333" s="4">
        <v>850</v>
      </c>
      <c r="I333" s="4">
        <v>169150</v>
      </c>
      <c r="J333" s="4">
        <v>18</v>
      </c>
      <c r="K333" s="4" t="s">
        <v>62</v>
      </c>
    </row>
    <row r="334" spans="1:11" x14ac:dyDescent="0.35">
      <c r="A334" s="2" t="s">
        <v>519</v>
      </c>
      <c r="B334" s="3">
        <v>45355</v>
      </c>
      <c r="C334" s="2" t="s">
        <v>92</v>
      </c>
      <c r="D334" s="2" t="s">
        <v>54</v>
      </c>
      <c r="E334" s="2" t="s">
        <v>14</v>
      </c>
      <c r="F334" s="2" t="s">
        <v>171</v>
      </c>
      <c r="G334" s="2">
        <v>97</v>
      </c>
      <c r="H334" s="2">
        <v>700</v>
      </c>
      <c r="I334" s="2">
        <v>62912.747005075427</v>
      </c>
      <c r="J334" s="2">
        <v>0</v>
      </c>
      <c r="K334" s="2" t="s">
        <v>42</v>
      </c>
    </row>
    <row r="335" spans="1:11" x14ac:dyDescent="0.35">
      <c r="A335" s="4" t="s">
        <v>520</v>
      </c>
      <c r="B335" s="5">
        <v>45448</v>
      </c>
      <c r="C335" s="4" t="s">
        <v>96</v>
      </c>
      <c r="D335" s="4" t="s">
        <v>13</v>
      </c>
      <c r="E335" s="4" t="s">
        <v>14</v>
      </c>
      <c r="F335" s="4" t="s">
        <v>72</v>
      </c>
      <c r="G335" s="4">
        <v>136</v>
      </c>
      <c r="H335" s="4">
        <v>400</v>
      </c>
      <c r="I335" s="4">
        <v>54400</v>
      </c>
      <c r="J335" s="4">
        <v>0</v>
      </c>
      <c r="K335" s="4" t="s">
        <v>16</v>
      </c>
    </row>
    <row r="336" spans="1:11" x14ac:dyDescent="0.35">
      <c r="A336" s="2" t="s">
        <v>521</v>
      </c>
      <c r="B336" s="2" t="s">
        <v>522</v>
      </c>
      <c r="C336" s="2" t="s">
        <v>106</v>
      </c>
      <c r="D336" s="2" t="s">
        <v>65</v>
      </c>
      <c r="E336" s="2" t="s">
        <v>31</v>
      </c>
      <c r="F336" s="2" t="s">
        <v>45</v>
      </c>
      <c r="G336" s="2">
        <v>71</v>
      </c>
      <c r="H336" s="2">
        <v>1200</v>
      </c>
      <c r="I336" s="2">
        <v>85200</v>
      </c>
      <c r="J336" s="2">
        <v>3</v>
      </c>
      <c r="K336" s="2" t="s">
        <v>28</v>
      </c>
    </row>
    <row r="337" spans="1:11" x14ac:dyDescent="0.35">
      <c r="A337" s="4" t="s">
        <v>523</v>
      </c>
      <c r="B337" s="5">
        <v>45297</v>
      </c>
      <c r="C337" s="4" t="s">
        <v>92</v>
      </c>
      <c r="D337" s="4" t="s">
        <v>79</v>
      </c>
      <c r="E337" s="4" t="s">
        <v>20</v>
      </c>
      <c r="F337" s="4" t="s">
        <v>52</v>
      </c>
      <c r="G337" s="4">
        <v>89</v>
      </c>
      <c r="H337" s="4">
        <v>450</v>
      </c>
      <c r="I337" s="4">
        <v>40050</v>
      </c>
      <c r="J337" s="4">
        <v>0</v>
      </c>
      <c r="K337" s="4" t="s">
        <v>33</v>
      </c>
    </row>
    <row r="338" spans="1:11" x14ac:dyDescent="0.35">
      <c r="A338" s="2" t="s">
        <v>524</v>
      </c>
      <c r="B338" s="2" t="s">
        <v>525</v>
      </c>
      <c r="C338" s="2" t="s">
        <v>88</v>
      </c>
      <c r="D338" s="2" t="s">
        <v>65</v>
      </c>
      <c r="E338" s="2" t="s">
        <v>14</v>
      </c>
      <c r="F338" s="2" t="s">
        <v>61</v>
      </c>
      <c r="G338" s="2">
        <v>30</v>
      </c>
      <c r="H338" s="2" t="s">
        <v>526</v>
      </c>
      <c r="I338" s="2">
        <v>66000</v>
      </c>
      <c r="J338" s="2">
        <v>3</v>
      </c>
      <c r="K338" s="2" t="s">
        <v>85</v>
      </c>
    </row>
    <row r="339" spans="1:11" x14ac:dyDescent="0.35">
      <c r="A339" s="4" t="s">
        <v>314</v>
      </c>
      <c r="B339" s="5">
        <v>45635</v>
      </c>
      <c r="C339" s="4" t="s">
        <v>25</v>
      </c>
      <c r="D339" s="4" t="s">
        <v>315</v>
      </c>
      <c r="E339" s="4" t="s">
        <v>31</v>
      </c>
      <c r="F339" s="4" t="s">
        <v>159</v>
      </c>
      <c r="G339" s="4">
        <v>122</v>
      </c>
      <c r="H339" s="4">
        <v>1800</v>
      </c>
      <c r="I339" s="4">
        <v>219600</v>
      </c>
      <c r="J339" s="4">
        <v>8</v>
      </c>
      <c r="K339" s="4" t="s">
        <v>42</v>
      </c>
    </row>
    <row r="340" spans="1:11" x14ac:dyDescent="0.35">
      <c r="A340" s="2" t="s">
        <v>527</v>
      </c>
      <c r="B340" s="3">
        <v>45303</v>
      </c>
      <c r="C340" s="2" t="s">
        <v>125</v>
      </c>
      <c r="D340" s="2" t="s">
        <v>13</v>
      </c>
      <c r="E340" s="2" t="s">
        <v>14</v>
      </c>
      <c r="F340" s="2" t="s">
        <v>61</v>
      </c>
      <c r="G340" s="2">
        <v>54</v>
      </c>
      <c r="H340" s="2">
        <v>2200</v>
      </c>
      <c r="I340" s="2">
        <v>118800</v>
      </c>
      <c r="J340" s="2">
        <v>2</v>
      </c>
      <c r="K340" s="2" t="s">
        <v>37</v>
      </c>
    </row>
    <row r="341" spans="1:11" x14ac:dyDescent="0.35">
      <c r="A341" s="4" t="s">
        <v>528</v>
      </c>
      <c r="B341" s="5">
        <v>45495</v>
      </c>
      <c r="C341" s="4" t="s">
        <v>109</v>
      </c>
      <c r="D341" s="4" t="s">
        <v>79</v>
      </c>
      <c r="E341" s="4" t="s">
        <v>20</v>
      </c>
      <c r="F341" s="4" t="s">
        <v>133</v>
      </c>
      <c r="G341" s="4">
        <v>183</v>
      </c>
      <c r="H341" s="4">
        <v>1200</v>
      </c>
      <c r="I341" s="4">
        <v>219600</v>
      </c>
      <c r="J341" s="4">
        <v>1</v>
      </c>
      <c r="K341" s="4" t="s">
        <v>16</v>
      </c>
    </row>
    <row r="342" spans="1:11" x14ac:dyDescent="0.35">
      <c r="A342" s="2" t="s">
        <v>529</v>
      </c>
      <c r="B342" s="2" t="s">
        <v>530</v>
      </c>
      <c r="C342" s="2" t="s">
        <v>88</v>
      </c>
      <c r="D342" s="2" t="s">
        <v>79</v>
      </c>
      <c r="E342" s="2" t="s">
        <v>20</v>
      </c>
      <c r="F342" s="2" t="s">
        <v>133</v>
      </c>
      <c r="G342" s="2">
        <v>171</v>
      </c>
      <c r="H342" s="2">
        <v>1200</v>
      </c>
      <c r="I342" s="2">
        <v>205200</v>
      </c>
      <c r="J342" s="2">
        <v>2</v>
      </c>
      <c r="K342" s="2" t="s">
        <v>42</v>
      </c>
    </row>
    <row r="343" spans="1:11" x14ac:dyDescent="0.35">
      <c r="A343" s="4" t="s">
        <v>531</v>
      </c>
      <c r="B343" s="5">
        <v>45472</v>
      </c>
      <c r="C343" s="4" t="s">
        <v>92</v>
      </c>
      <c r="D343" s="4" t="s">
        <v>13</v>
      </c>
      <c r="E343" s="4" t="s">
        <v>31</v>
      </c>
      <c r="F343" s="4" t="s">
        <v>58</v>
      </c>
      <c r="G343" s="4">
        <v>62</v>
      </c>
      <c r="H343" s="4">
        <v>850</v>
      </c>
      <c r="I343" s="4">
        <v>52700</v>
      </c>
      <c r="J343" s="4">
        <v>0</v>
      </c>
      <c r="K343" s="4" t="s">
        <v>42</v>
      </c>
    </row>
    <row r="344" spans="1:11" x14ac:dyDescent="0.35">
      <c r="A344" s="2" t="s">
        <v>532</v>
      </c>
      <c r="B344" s="2" t="s">
        <v>533</v>
      </c>
      <c r="C344" s="2" t="s">
        <v>534</v>
      </c>
      <c r="D344" s="2" t="s">
        <v>65</v>
      </c>
      <c r="E344" s="2" t="s">
        <v>14</v>
      </c>
      <c r="F344" s="2" t="s">
        <v>70</v>
      </c>
      <c r="G344" s="2">
        <v>121</v>
      </c>
      <c r="H344" s="2">
        <v>1800</v>
      </c>
      <c r="I344" s="2">
        <v>217800</v>
      </c>
      <c r="J344" s="2">
        <v>10</v>
      </c>
      <c r="K344" s="2" t="s">
        <v>37</v>
      </c>
    </row>
    <row r="345" spans="1:11" x14ac:dyDescent="0.35">
      <c r="A345" s="4" t="s">
        <v>535</v>
      </c>
      <c r="B345" s="4" t="s">
        <v>536</v>
      </c>
      <c r="C345" s="4" t="s">
        <v>64</v>
      </c>
      <c r="D345" s="4" t="s">
        <v>35</v>
      </c>
      <c r="E345" s="4" t="s">
        <v>20</v>
      </c>
      <c r="F345" s="4" t="s">
        <v>97</v>
      </c>
      <c r="G345" s="4">
        <v>160</v>
      </c>
      <c r="H345" s="4">
        <v>500</v>
      </c>
      <c r="I345" s="4">
        <v>80000</v>
      </c>
      <c r="J345" s="4">
        <v>0</v>
      </c>
      <c r="K345" s="4" t="s">
        <v>28</v>
      </c>
    </row>
    <row r="346" spans="1:11" x14ac:dyDescent="0.35">
      <c r="A346" s="2" t="s">
        <v>537</v>
      </c>
      <c r="B346" s="3">
        <v>45484</v>
      </c>
      <c r="C346" s="2" t="s">
        <v>69</v>
      </c>
      <c r="D346" s="2" t="s">
        <v>26</v>
      </c>
      <c r="E346" s="2" t="s">
        <v>31</v>
      </c>
      <c r="F346" s="2" t="s">
        <v>55</v>
      </c>
      <c r="G346" s="2">
        <v>185</v>
      </c>
      <c r="H346" s="2">
        <v>1100</v>
      </c>
      <c r="I346" s="2">
        <v>203500</v>
      </c>
      <c r="J346" s="2">
        <v>3</v>
      </c>
      <c r="K346" s="2" t="s">
        <v>46</v>
      </c>
    </row>
    <row r="347" spans="1:11" x14ac:dyDescent="0.35">
      <c r="A347" s="4" t="s">
        <v>538</v>
      </c>
      <c r="B347" s="5">
        <v>45512</v>
      </c>
      <c r="C347" s="4" t="s">
        <v>51</v>
      </c>
      <c r="D347" s="4" t="s">
        <v>93</v>
      </c>
      <c r="E347" s="4" t="s">
        <v>14</v>
      </c>
      <c r="F347" s="4" t="s">
        <v>27</v>
      </c>
      <c r="G347" s="4">
        <v>11</v>
      </c>
      <c r="H347" s="4">
        <v>1600</v>
      </c>
      <c r="I347" s="4">
        <v>17600</v>
      </c>
      <c r="J347" s="4">
        <v>1</v>
      </c>
      <c r="K347" s="4" t="s">
        <v>33</v>
      </c>
    </row>
    <row r="348" spans="1:11" x14ac:dyDescent="0.35">
      <c r="A348" s="2" t="s">
        <v>539</v>
      </c>
      <c r="B348" s="2" t="s">
        <v>533</v>
      </c>
      <c r="C348" s="2" t="s">
        <v>51</v>
      </c>
      <c r="D348" s="2" t="s">
        <v>26</v>
      </c>
      <c r="E348" s="2" t="s">
        <v>20</v>
      </c>
      <c r="F348" s="2" t="s">
        <v>153</v>
      </c>
      <c r="G348" s="2">
        <v>148</v>
      </c>
      <c r="H348" s="2">
        <v>2800</v>
      </c>
      <c r="I348" s="2">
        <v>414400</v>
      </c>
      <c r="J348" s="2">
        <v>12</v>
      </c>
      <c r="K348" s="2" t="s">
        <v>122</v>
      </c>
    </row>
    <row r="349" spans="1:11" x14ac:dyDescent="0.35">
      <c r="A349" s="4" t="s">
        <v>540</v>
      </c>
      <c r="B349" s="5">
        <v>45528</v>
      </c>
      <c r="C349" s="4" t="s">
        <v>109</v>
      </c>
      <c r="D349" s="4"/>
      <c r="E349" s="4" t="s">
        <v>31</v>
      </c>
      <c r="F349" s="4" t="s">
        <v>89</v>
      </c>
      <c r="G349" s="4">
        <v>106</v>
      </c>
      <c r="H349" s="4" t="s">
        <v>541</v>
      </c>
      <c r="I349" s="4">
        <v>95400</v>
      </c>
      <c r="J349" s="4">
        <v>0</v>
      </c>
      <c r="K349" s="4" t="s">
        <v>46</v>
      </c>
    </row>
    <row r="350" spans="1:11" x14ac:dyDescent="0.35">
      <c r="A350" s="2" t="s">
        <v>542</v>
      </c>
      <c r="B350" s="3">
        <v>45324</v>
      </c>
      <c r="C350" s="2" t="s">
        <v>18</v>
      </c>
      <c r="D350" s="2" t="s">
        <v>26</v>
      </c>
      <c r="E350" s="2" t="s">
        <v>20</v>
      </c>
      <c r="F350" s="2" t="s">
        <v>52</v>
      </c>
      <c r="G350" s="2">
        <v>139</v>
      </c>
      <c r="H350" s="2">
        <v>450</v>
      </c>
      <c r="I350" s="2">
        <v>62550</v>
      </c>
      <c r="J350" s="2">
        <v>10</v>
      </c>
      <c r="K350" s="2" t="s">
        <v>22</v>
      </c>
    </row>
    <row r="351" spans="1:11" x14ac:dyDescent="0.35">
      <c r="A351" s="4" t="s">
        <v>543</v>
      </c>
      <c r="B351" s="5">
        <v>45617</v>
      </c>
      <c r="C351" s="4" t="s">
        <v>118</v>
      </c>
      <c r="D351" s="4" t="s">
        <v>54</v>
      </c>
      <c r="E351" s="4" t="s">
        <v>14</v>
      </c>
      <c r="F351" s="4" t="s">
        <v>15</v>
      </c>
      <c r="G351" s="4">
        <v>116</v>
      </c>
      <c r="H351" s="4">
        <v>1200</v>
      </c>
      <c r="I351" s="4">
        <v>139200</v>
      </c>
      <c r="J351" s="4">
        <v>11</v>
      </c>
      <c r="K351" s="4" t="s">
        <v>122</v>
      </c>
    </row>
    <row r="352" spans="1:11" x14ac:dyDescent="0.35">
      <c r="A352" s="2" t="s">
        <v>544</v>
      </c>
      <c r="B352" s="2" t="s">
        <v>545</v>
      </c>
      <c r="C352" s="2" t="s">
        <v>30</v>
      </c>
      <c r="D352" s="2" t="s">
        <v>79</v>
      </c>
      <c r="E352" s="2" t="s">
        <v>14</v>
      </c>
      <c r="F352" s="2" t="s">
        <v>99</v>
      </c>
      <c r="G352" s="2">
        <v>168</v>
      </c>
      <c r="H352" s="2">
        <v>1500</v>
      </c>
      <c r="I352" s="2">
        <v>252000</v>
      </c>
      <c r="J352" s="2">
        <v>1</v>
      </c>
      <c r="K352" s="2" t="s">
        <v>62</v>
      </c>
    </row>
    <row r="353" spans="1:11" x14ac:dyDescent="0.35">
      <c r="A353" s="4" t="s">
        <v>546</v>
      </c>
      <c r="B353" s="5">
        <v>45654</v>
      </c>
      <c r="C353" s="4" t="s">
        <v>18</v>
      </c>
      <c r="D353" s="4" t="s">
        <v>79</v>
      </c>
      <c r="E353" s="4" t="s">
        <v>31</v>
      </c>
      <c r="F353" s="4" t="s">
        <v>55</v>
      </c>
      <c r="G353" s="4">
        <v>58</v>
      </c>
      <c r="H353" s="4">
        <v>1100</v>
      </c>
      <c r="I353" s="4">
        <v>63800</v>
      </c>
      <c r="J353" s="4">
        <v>0</v>
      </c>
      <c r="K353" s="4" t="s">
        <v>33</v>
      </c>
    </row>
    <row r="354" spans="1:11" x14ac:dyDescent="0.35">
      <c r="A354" s="2" t="s">
        <v>547</v>
      </c>
      <c r="B354" s="3">
        <v>45374</v>
      </c>
      <c r="C354" s="2" t="s">
        <v>83</v>
      </c>
      <c r="D354" s="2" t="s">
        <v>13</v>
      </c>
      <c r="E354" s="2" t="s">
        <v>14</v>
      </c>
      <c r="F354" s="2" t="s">
        <v>61</v>
      </c>
      <c r="G354" s="2">
        <v>34</v>
      </c>
      <c r="H354" s="2"/>
      <c r="I354" s="2">
        <v>74800</v>
      </c>
      <c r="J354" s="2">
        <v>3</v>
      </c>
      <c r="K354" s="2" t="s">
        <v>85</v>
      </c>
    </row>
    <row r="355" spans="1:11" x14ac:dyDescent="0.35">
      <c r="A355" s="4" t="s">
        <v>548</v>
      </c>
      <c r="B355" s="5">
        <v>45626</v>
      </c>
      <c r="C355" s="4" t="s">
        <v>125</v>
      </c>
      <c r="D355" s="4" t="s">
        <v>93</v>
      </c>
      <c r="E355" s="4" t="s">
        <v>31</v>
      </c>
      <c r="F355" s="4" t="s">
        <v>45</v>
      </c>
      <c r="G355" s="4">
        <v>115</v>
      </c>
      <c r="H355" s="4">
        <v>1200</v>
      </c>
      <c r="I355" s="4">
        <v>138000</v>
      </c>
      <c r="J355" s="4">
        <v>0</v>
      </c>
      <c r="K355" s="4" t="s">
        <v>122</v>
      </c>
    </row>
    <row r="356" spans="1:11" x14ac:dyDescent="0.35">
      <c r="A356" s="2" t="s">
        <v>549</v>
      </c>
      <c r="B356" s="3">
        <v>45301</v>
      </c>
      <c r="C356" s="2" t="s">
        <v>92</v>
      </c>
      <c r="D356" s="2" t="s">
        <v>54</v>
      </c>
      <c r="E356" s="2" t="s">
        <v>20</v>
      </c>
      <c r="F356" s="2" t="s">
        <v>36</v>
      </c>
      <c r="G356" s="2">
        <v>59</v>
      </c>
      <c r="H356" s="2">
        <v>900</v>
      </c>
      <c r="I356" s="2">
        <v>53100</v>
      </c>
      <c r="J356" s="2">
        <v>0</v>
      </c>
      <c r="K356" s="2" t="s">
        <v>85</v>
      </c>
    </row>
    <row r="357" spans="1:11" x14ac:dyDescent="0.35">
      <c r="A357" s="4" t="s">
        <v>550</v>
      </c>
      <c r="B357" s="5">
        <v>45447</v>
      </c>
      <c r="C357" s="4" t="s">
        <v>88</v>
      </c>
      <c r="D357" s="4" t="s">
        <v>93</v>
      </c>
      <c r="E357" s="4" t="s">
        <v>31</v>
      </c>
      <c r="F357" s="4" t="s">
        <v>45</v>
      </c>
      <c r="G357" s="4">
        <v>190</v>
      </c>
      <c r="H357" s="4">
        <v>1200</v>
      </c>
      <c r="I357" s="4">
        <v>228000</v>
      </c>
      <c r="J357" s="4">
        <v>18</v>
      </c>
      <c r="K357" s="4" t="s">
        <v>37</v>
      </c>
    </row>
    <row r="358" spans="1:11" x14ac:dyDescent="0.35">
      <c r="A358" s="2" t="s">
        <v>551</v>
      </c>
      <c r="B358" s="2" t="s">
        <v>552</v>
      </c>
      <c r="C358" s="2" t="s">
        <v>88</v>
      </c>
      <c r="D358" s="2" t="s">
        <v>35</v>
      </c>
      <c r="E358" s="2" t="s">
        <v>20</v>
      </c>
      <c r="F358" s="2" t="s">
        <v>133</v>
      </c>
      <c r="G358" s="2">
        <v>17</v>
      </c>
      <c r="H358" s="2">
        <v>1200</v>
      </c>
      <c r="I358" s="2">
        <v>20400</v>
      </c>
      <c r="J358" s="2">
        <v>0</v>
      </c>
      <c r="K358" s="2"/>
    </row>
    <row r="359" spans="1:11" x14ac:dyDescent="0.35">
      <c r="A359" s="4" t="s">
        <v>553</v>
      </c>
      <c r="B359" s="5">
        <v>45324</v>
      </c>
      <c r="C359" s="4" t="s">
        <v>106</v>
      </c>
      <c r="D359" s="4" t="s">
        <v>79</v>
      </c>
      <c r="E359" s="4" t="s">
        <v>31</v>
      </c>
      <c r="F359" s="4" t="s">
        <v>58</v>
      </c>
      <c r="G359" s="4">
        <v>164</v>
      </c>
      <c r="H359" s="4">
        <v>850</v>
      </c>
      <c r="I359" s="4">
        <v>139400</v>
      </c>
      <c r="J359" s="4">
        <v>0</v>
      </c>
      <c r="K359" s="4" t="s">
        <v>42</v>
      </c>
    </row>
    <row r="360" spans="1:11" x14ac:dyDescent="0.35">
      <c r="A360" s="2" t="s">
        <v>554</v>
      </c>
      <c r="B360" s="2" t="s">
        <v>372</v>
      </c>
      <c r="C360" s="2" t="s">
        <v>57</v>
      </c>
      <c r="D360" s="2" t="s">
        <v>49</v>
      </c>
      <c r="E360" s="2" t="s">
        <v>31</v>
      </c>
      <c r="F360" s="2" t="s">
        <v>89</v>
      </c>
      <c r="G360" s="2">
        <v>8</v>
      </c>
      <c r="H360" s="2">
        <v>900</v>
      </c>
      <c r="I360" s="2">
        <v>7200</v>
      </c>
      <c r="J360" s="2">
        <v>1</v>
      </c>
      <c r="K360" s="2" t="s">
        <v>46</v>
      </c>
    </row>
    <row r="361" spans="1:11" x14ac:dyDescent="0.35">
      <c r="A361" s="4" t="s">
        <v>396</v>
      </c>
      <c r="B361" s="5">
        <v>45357</v>
      </c>
      <c r="C361" s="4" t="s">
        <v>96</v>
      </c>
      <c r="D361" s="4" t="s">
        <v>26</v>
      </c>
      <c r="E361" s="4" t="s">
        <v>14</v>
      </c>
      <c r="F361" s="4" t="s">
        <v>61</v>
      </c>
      <c r="G361" s="4">
        <v>179</v>
      </c>
      <c r="H361" s="4">
        <v>2200</v>
      </c>
      <c r="I361" s="4">
        <v>393800</v>
      </c>
      <c r="J361" s="4">
        <v>13</v>
      </c>
      <c r="K361" s="4" t="s">
        <v>46</v>
      </c>
    </row>
    <row r="362" spans="1:11" x14ac:dyDescent="0.35">
      <c r="A362" s="2" t="s">
        <v>555</v>
      </c>
      <c r="B362" s="2" t="s">
        <v>556</v>
      </c>
      <c r="C362" s="2" t="s">
        <v>51</v>
      </c>
      <c r="D362" s="2" t="s">
        <v>13</v>
      </c>
      <c r="E362" s="2" t="s">
        <v>31</v>
      </c>
      <c r="F362" s="2" t="s">
        <v>159</v>
      </c>
      <c r="G362" s="2">
        <v>-109</v>
      </c>
      <c r="H362" s="2" t="s">
        <v>107</v>
      </c>
      <c r="I362" s="2">
        <v>196200</v>
      </c>
      <c r="J362" s="2">
        <v>0</v>
      </c>
      <c r="K362" s="2" t="s">
        <v>22</v>
      </c>
    </row>
    <row r="363" spans="1:11" x14ac:dyDescent="0.35">
      <c r="A363" s="4" t="s">
        <v>557</v>
      </c>
      <c r="B363" s="5">
        <v>45526</v>
      </c>
      <c r="C363" s="4" t="s">
        <v>125</v>
      </c>
      <c r="D363" s="4" t="s">
        <v>41</v>
      </c>
      <c r="E363" s="4" t="s">
        <v>20</v>
      </c>
      <c r="F363" s="4" t="s">
        <v>21</v>
      </c>
      <c r="G363" s="4">
        <v>177</v>
      </c>
      <c r="H363" s="4">
        <v>3500</v>
      </c>
      <c r="I363" s="4">
        <v>619500</v>
      </c>
      <c r="J363" s="4">
        <v>0</v>
      </c>
      <c r="K363" s="4" t="s">
        <v>37</v>
      </c>
    </row>
    <row r="364" spans="1:11" x14ac:dyDescent="0.35">
      <c r="A364" s="2" t="s">
        <v>558</v>
      </c>
      <c r="B364" s="3">
        <v>45529</v>
      </c>
      <c r="C364" s="2" t="s">
        <v>64</v>
      </c>
      <c r="D364" s="2" t="s">
        <v>26</v>
      </c>
      <c r="E364" s="2" t="s">
        <v>31</v>
      </c>
      <c r="F364" s="2" t="s">
        <v>121</v>
      </c>
      <c r="G364" s="2">
        <v>130</v>
      </c>
      <c r="H364" s="2">
        <v>200</v>
      </c>
      <c r="I364" s="2">
        <v>26000</v>
      </c>
      <c r="J364" s="2">
        <v>5</v>
      </c>
      <c r="K364" s="2" t="s">
        <v>22</v>
      </c>
    </row>
    <row r="365" spans="1:11" x14ac:dyDescent="0.35">
      <c r="A365" s="4" t="s">
        <v>559</v>
      </c>
      <c r="B365" s="5">
        <v>45544</v>
      </c>
      <c r="C365" s="4" t="s">
        <v>30</v>
      </c>
      <c r="D365" s="4" t="s">
        <v>79</v>
      </c>
      <c r="E365" s="4" t="s">
        <v>31</v>
      </c>
      <c r="F365" s="4" t="s">
        <v>45</v>
      </c>
      <c r="G365" s="4">
        <v>19</v>
      </c>
      <c r="H365" s="4">
        <v>1200</v>
      </c>
      <c r="I365" s="4">
        <v>22800</v>
      </c>
      <c r="J365" s="4">
        <v>0</v>
      </c>
      <c r="K365" s="4" t="s">
        <v>46</v>
      </c>
    </row>
    <row r="366" spans="1:11" x14ac:dyDescent="0.35">
      <c r="A366" s="2" t="s">
        <v>560</v>
      </c>
      <c r="B366" s="3">
        <v>45621</v>
      </c>
      <c r="C366" s="2" t="s">
        <v>25</v>
      </c>
      <c r="D366" s="2" t="s">
        <v>79</v>
      </c>
      <c r="E366" s="2" t="s">
        <v>20</v>
      </c>
      <c r="F366" s="2" t="s">
        <v>133</v>
      </c>
      <c r="G366" s="2">
        <v>39</v>
      </c>
      <c r="H366" s="2">
        <v>1200</v>
      </c>
      <c r="I366" s="2">
        <v>46800</v>
      </c>
      <c r="J366" s="2">
        <v>0</v>
      </c>
      <c r="K366" s="2" t="s">
        <v>33</v>
      </c>
    </row>
    <row r="367" spans="1:11" x14ac:dyDescent="0.35">
      <c r="A367" s="4" t="s">
        <v>561</v>
      </c>
      <c r="B367" s="5">
        <v>45653</v>
      </c>
      <c r="C367" s="4" t="s">
        <v>74</v>
      </c>
      <c r="D367" s="4" t="s">
        <v>65</v>
      </c>
      <c r="E367" s="4" t="s">
        <v>20</v>
      </c>
      <c r="F367" s="4" t="s">
        <v>133</v>
      </c>
      <c r="G367" s="4">
        <v>119</v>
      </c>
      <c r="H367" s="4">
        <v>1200</v>
      </c>
      <c r="I367" s="4">
        <v>142800</v>
      </c>
      <c r="J367" s="4">
        <v>5</v>
      </c>
      <c r="K367" s="4" t="s">
        <v>85</v>
      </c>
    </row>
    <row r="368" spans="1:11" x14ac:dyDescent="0.35">
      <c r="A368" s="2" t="s">
        <v>562</v>
      </c>
      <c r="B368" s="3">
        <v>45322</v>
      </c>
      <c r="C368" s="2" t="s">
        <v>74</v>
      </c>
      <c r="D368" s="2"/>
      <c r="E368" s="2" t="s">
        <v>31</v>
      </c>
      <c r="F368" s="2" t="s">
        <v>81</v>
      </c>
      <c r="G368" s="2">
        <v>129</v>
      </c>
      <c r="H368" s="2">
        <v>650</v>
      </c>
      <c r="I368" s="2">
        <v>83850</v>
      </c>
      <c r="J368" s="2">
        <v>12</v>
      </c>
      <c r="K368" s="2" t="s">
        <v>28</v>
      </c>
    </row>
    <row r="369" spans="1:11" x14ac:dyDescent="0.35">
      <c r="A369" s="4" t="s">
        <v>563</v>
      </c>
      <c r="B369" s="4" t="s">
        <v>564</v>
      </c>
      <c r="C369" s="4" t="s">
        <v>60</v>
      </c>
      <c r="D369" s="4" t="s">
        <v>35</v>
      </c>
      <c r="E369" s="4" t="s">
        <v>14</v>
      </c>
      <c r="F369" s="4" t="s">
        <v>99</v>
      </c>
      <c r="G369" s="4">
        <v>143</v>
      </c>
      <c r="H369" s="4">
        <v>1500</v>
      </c>
      <c r="I369" s="4">
        <v>214500</v>
      </c>
      <c r="J369" s="4">
        <v>0</v>
      </c>
      <c r="K369" s="4" t="s">
        <v>62</v>
      </c>
    </row>
    <row r="370" spans="1:11" x14ac:dyDescent="0.35">
      <c r="A370" s="2" t="s">
        <v>565</v>
      </c>
      <c r="B370" s="3">
        <v>45369</v>
      </c>
      <c r="C370" s="2" t="s">
        <v>44</v>
      </c>
      <c r="D370" s="2" t="s">
        <v>79</v>
      </c>
      <c r="E370" s="2" t="s">
        <v>31</v>
      </c>
      <c r="F370" s="2" t="s">
        <v>55</v>
      </c>
      <c r="G370" s="2">
        <v>111</v>
      </c>
      <c r="H370" s="2">
        <v>1100</v>
      </c>
      <c r="I370" s="2">
        <v>122100</v>
      </c>
      <c r="J370" s="2">
        <v>5</v>
      </c>
      <c r="K370" s="2" t="s">
        <v>42</v>
      </c>
    </row>
    <row r="371" spans="1:11" x14ac:dyDescent="0.35">
      <c r="A371" s="4" t="s">
        <v>566</v>
      </c>
      <c r="B371" s="5">
        <v>45619</v>
      </c>
      <c r="C371" s="4" t="s">
        <v>40</v>
      </c>
      <c r="D371" s="4" t="s">
        <v>13</v>
      </c>
      <c r="E371" s="4" t="s">
        <v>31</v>
      </c>
      <c r="F371" s="4" t="s">
        <v>81</v>
      </c>
      <c r="G371" s="4">
        <v>193</v>
      </c>
      <c r="H371" s="4">
        <v>650</v>
      </c>
      <c r="I371" s="4">
        <v>125450</v>
      </c>
      <c r="J371" s="4">
        <v>1</v>
      </c>
      <c r="K371" s="4" t="s">
        <v>33</v>
      </c>
    </row>
    <row r="372" spans="1:11" x14ac:dyDescent="0.35">
      <c r="A372" s="2" t="s">
        <v>567</v>
      </c>
      <c r="B372" s="3">
        <v>45295</v>
      </c>
      <c r="C372" s="2" t="s">
        <v>88</v>
      </c>
      <c r="D372" s="2" t="s">
        <v>19</v>
      </c>
      <c r="E372" s="2" t="s">
        <v>20</v>
      </c>
      <c r="F372" s="2" t="s">
        <v>36</v>
      </c>
      <c r="G372" s="2">
        <v>106</v>
      </c>
      <c r="H372" s="2">
        <v>900</v>
      </c>
      <c r="I372" s="2">
        <v>95400</v>
      </c>
      <c r="J372" s="2">
        <v>3</v>
      </c>
      <c r="K372" s="2" t="s">
        <v>42</v>
      </c>
    </row>
    <row r="373" spans="1:11" x14ac:dyDescent="0.35">
      <c r="A373" s="4" t="s">
        <v>568</v>
      </c>
      <c r="B373" s="5">
        <v>45573</v>
      </c>
      <c r="C373" s="4" t="s">
        <v>118</v>
      </c>
      <c r="D373" s="4" t="s">
        <v>35</v>
      </c>
      <c r="E373" s="4" t="s">
        <v>14</v>
      </c>
      <c r="F373" s="4" t="s">
        <v>61</v>
      </c>
      <c r="G373" s="4">
        <v>112</v>
      </c>
      <c r="H373" s="4">
        <v>2200</v>
      </c>
      <c r="I373" s="4">
        <v>246400</v>
      </c>
      <c r="J373" s="4">
        <v>8</v>
      </c>
      <c r="K373" s="4" t="s">
        <v>33</v>
      </c>
    </row>
    <row r="374" spans="1:11" x14ac:dyDescent="0.35">
      <c r="A374" s="2" t="s">
        <v>569</v>
      </c>
      <c r="B374" s="3">
        <v>45341</v>
      </c>
      <c r="C374" s="2" t="s">
        <v>25</v>
      </c>
      <c r="D374" s="2" t="s">
        <v>49</v>
      </c>
      <c r="E374" s="2" t="s">
        <v>31</v>
      </c>
      <c r="F374" s="2" t="s">
        <v>55</v>
      </c>
      <c r="G374" s="2">
        <v>16</v>
      </c>
      <c r="H374" s="2">
        <v>1100</v>
      </c>
      <c r="I374" s="2">
        <v>17600</v>
      </c>
      <c r="J374" s="2">
        <v>0</v>
      </c>
      <c r="K374" s="2" t="s">
        <v>62</v>
      </c>
    </row>
    <row r="375" spans="1:11" x14ac:dyDescent="0.35">
      <c r="A375" s="4" t="s">
        <v>570</v>
      </c>
      <c r="B375" s="5">
        <v>45510</v>
      </c>
      <c r="C375" s="4" t="s">
        <v>92</v>
      </c>
      <c r="D375" s="4" t="s">
        <v>49</v>
      </c>
      <c r="E375" s="4" t="s">
        <v>14</v>
      </c>
      <c r="F375" s="4" t="s">
        <v>72</v>
      </c>
      <c r="G375" s="4">
        <v>62</v>
      </c>
      <c r="H375" s="4">
        <v>400</v>
      </c>
      <c r="I375" s="4">
        <v>24800</v>
      </c>
      <c r="J375" s="4">
        <v>5</v>
      </c>
      <c r="K375" s="4" t="s">
        <v>85</v>
      </c>
    </row>
    <row r="376" spans="1:11" x14ac:dyDescent="0.35">
      <c r="A376" s="2" t="s">
        <v>571</v>
      </c>
      <c r="B376" s="3">
        <v>45340</v>
      </c>
      <c r="C376" s="2" t="s">
        <v>109</v>
      </c>
      <c r="D376" s="2" t="s">
        <v>65</v>
      </c>
      <c r="E376" s="2" t="s">
        <v>20</v>
      </c>
      <c r="F376" s="2" t="s">
        <v>153</v>
      </c>
      <c r="G376" s="2">
        <v>20</v>
      </c>
      <c r="H376" s="2">
        <v>2800</v>
      </c>
      <c r="I376" s="2">
        <v>56000</v>
      </c>
      <c r="J376" s="2">
        <v>0</v>
      </c>
      <c r="K376" s="2" t="s">
        <v>22</v>
      </c>
    </row>
    <row r="377" spans="1:11" x14ac:dyDescent="0.35">
      <c r="A377" s="4" t="s">
        <v>572</v>
      </c>
      <c r="B377" s="5">
        <v>45649</v>
      </c>
      <c r="C377" s="4" t="s">
        <v>12</v>
      </c>
      <c r="D377" s="4" t="s">
        <v>41</v>
      </c>
      <c r="E377" s="4" t="s">
        <v>14</v>
      </c>
      <c r="F377" s="4" t="s">
        <v>72</v>
      </c>
      <c r="G377" s="4">
        <v>196</v>
      </c>
      <c r="H377" s="4">
        <v>400</v>
      </c>
      <c r="I377" s="4">
        <v>78400</v>
      </c>
      <c r="J377" s="4">
        <v>9</v>
      </c>
      <c r="K377" s="4" t="s">
        <v>22</v>
      </c>
    </row>
    <row r="378" spans="1:11" x14ac:dyDescent="0.35">
      <c r="A378" s="2" t="s">
        <v>573</v>
      </c>
      <c r="B378" s="2" t="s">
        <v>145</v>
      </c>
      <c r="C378" s="2" t="s">
        <v>60</v>
      </c>
      <c r="D378" s="2" t="s">
        <v>65</v>
      </c>
      <c r="E378" s="2" t="s">
        <v>14</v>
      </c>
      <c r="F378" s="2" t="s">
        <v>61</v>
      </c>
      <c r="G378" s="2">
        <v>30</v>
      </c>
      <c r="H378" s="2">
        <v>2200</v>
      </c>
      <c r="I378" s="2">
        <v>66000</v>
      </c>
      <c r="J378" s="2">
        <v>0</v>
      </c>
      <c r="K378" s="2" t="s">
        <v>28</v>
      </c>
    </row>
    <row r="379" spans="1:11" x14ac:dyDescent="0.35">
      <c r="A379" s="4" t="s">
        <v>574</v>
      </c>
      <c r="B379" s="5">
        <v>45532</v>
      </c>
      <c r="C379" s="4" t="s">
        <v>109</v>
      </c>
      <c r="D379" s="4" t="s">
        <v>49</v>
      </c>
      <c r="E379" s="4" t="s">
        <v>14</v>
      </c>
      <c r="F379" s="4" t="s">
        <v>72</v>
      </c>
      <c r="G379" s="4">
        <v>9</v>
      </c>
      <c r="H379" s="4">
        <v>400</v>
      </c>
      <c r="I379" s="4">
        <v>3600</v>
      </c>
      <c r="J379" s="4">
        <v>0</v>
      </c>
      <c r="K379" s="4" t="s">
        <v>46</v>
      </c>
    </row>
    <row r="380" spans="1:11" x14ac:dyDescent="0.35">
      <c r="A380" s="2" t="s">
        <v>575</v>
      </c>
      <c r="B380" s="2" t="s">
        <v>576</v>
      </c>
      <c r="C380" s="2" t="s">
        <v>156</v>
      </c>
      <c r="D380" s="2" t="s">
        <v>79</v>
      </c>
      <c r="E380" s="2" t="s">
        <v>20</v>
      </c>
      <c r="F380" s="2" t="s">
        <v>97</v>
      </c>
      <c r="G380" s="2">
        <v>143</v>
      </c>
      <c r="H380" s="2">
        <v>500</v>
      </c>
      <c r="I380" s="2">
        <v>71500</v>
      </c>
      <c r="J380" s="2">
        <v>11</v>
      </c>
      <c r="K380" s="2" t="s">
        <v>28</v>
      </c>
    </row>
    <row r="381" spans="1:11" x14ac:dyDescent="0.35">
      <c r="A381" s="4" t="s">
        <v>577</v>
      </c>
      <c r="B381" s="5">
        <v>45640</v>
      </c>
      <c r="C381" s="4" t="s">
        <v>44</v>
      </c>
      <c r="D381" s="4" t="s">
        <v>49</v>
      </c>
      <c r="E381" s="4" t="s">
        <v>31</v>
      </c>
      <c r="F381" s="4" t="s">
        <v>89</v>
      </c>
      <c r="G381" s="4">
        <v>182</v>
      </c>
      <c r="H381" s="4">
        <v>900</v>
      </c>
      <c r="I381" s="4">
        <v>163800</v>
      </c>
      <c r="J381" s="4">
        <v>3</v>
      </c>
      <c r="K381" s="4" t="s">
        <v>16</v>
      </c>
    </row>
    <row r="382" spans="1:11" x14ac:dyDescent="0.35">
      <c r="A382" s="2" t="s">
        <v>578</v>
      </c>
      <c r="B382" s="3">
        <v>45431</v>
      </c>
      <c r="C382" s="2" t="s">
        <v>40</v>
      </c>
      <c r="D382" s="2" t="s">
        <v>35</v>
      </c>
      <c r="E382" s="2" t="s">
        <v>20</v>
      </c>
      <c r="F382" s="2" t="s">
        <v>153</v>
      </c>
      <c r="G382" s="2">
        <v>50</v>
      </c>
      <c r="H382" s="2">
        <v>2800</v>
      </c>
      <c r="I382" s="2">
        <v>140000</v>
      </c>
      <c r="J382" s="2">
        <v>0</v>
      </c>
      <c r="K382" s="2" t="s">
        <v>16</v>
      </c>
    </row>
    <row r="383" spans="1:11" x14ac:dyDescent="0.35">
      <c r="A383" s="4" t="s">
        <v>579</v>
      </c>
      <c r="B383" s="4" t="s">
        <v>580</v>
      </c>
      <c r="C383" s="4" t="s">
        <v>51</v>
      </c>
      <c r="D383" s="4" t="s">
        <v>19</v>
      </c>
      <c r="E383" s="4" t="s">
        <v>14</v>
      </c>
      <c r="F383" s="4" t="s">
        <v>72</v>
      </c>
      <c r="G383" s="4">
        <v>188</v>
      </c>
      <c r="H383" s="4">
        <v>400</v>
      </c>
      <c r="I383" s="4">
        <v>75200</v>
      </c>
      <c r="J383" s="4">
        <v>7</v>
      </c>
      <c r="K383" s="4" t="s">
        <v>42</v>
      </c>
    </row>
    <row r="384" spans="1:11" x14ac:dyDescent="0.35">
      <c r="A384" s="2" t="s">
        <v>581</v>
      </c>
      <c r="B384" s="3">
        <v>45314</v>
      </c>
      <c r="C384" s="2" t="s">
        <v>25</v>
      </c>
      <c r="D384" s="2" t="s">
        <v>49</v>
      </c>
      <c r="E384" s="2" t="s">
        <v>20</v>
      </c>
      <c r="F384" s="2" t="s">
        <v>52</v>
      </c>
      <c r="G384" s="2">
        <v>150</v>
      </c>
      <c r="H384" s="2">
        <v>450</v>
      </c>
      <c r="I384" s="2">
        <v>67500</v>
      </c>
      <c r="J384" s="2">
        <v>0</v>
      </c>
      <c r="K384" s="2" t="s">
        <v>33</v>
      </c>
    </row>
    <row r="385" spans="1:11" x14ac:dyDescent="0.35">
      <c r="A385" s="4" t="s">
        <v>582</v>
      </c>
      <c r="B385" s="5">
        <v>45491</v>
      </c>
      <c r="C385" s="4" t="s">
        <v>51</v>
      </c>
      <c r="D385" s="4" t="s">
        <v>49</v>
      </c>
      <c r="E385" s="4" t="s">
        <v>14</v>
      </c>
      <c r="F385" s="4" t="s">
        <v>171</v>
      </c>
      <c r="G385" s="4">
        <v>194</v>
      </c>
      <c r="H385" s="4">
        <v>700</v>
      </c>
      <c r="I385" s="4">
        <v>135800</v>
      </c>
      <c r="J385" s="4">
        <v>11</v>
      </c>
      <c r="K385" s="4" t="s">
        <v>33</v>
      </c>
    </row>
    <row r="386" spans="1:11" x14ac:dyDescent="0.35">
      <c r="A386" s="2" t="s">
        <v>583</v>
      </c>
      <c r="B386" s="3">
        <v>45638</v>
      </c>
      <c r="C386" s="2" t="s">
        <v>30</v>
      </c>
      <c r="D386" s="2" t="s">
        <v>19</v>
      </c>
      <c r="E386" s="2" t="s">
        <v>31</v>
      </c>
      <c r="F386" s="2" t="s">
        <v>159</v>
      </c>
      <c r="G386" s="2">
        <v>79</v>
      </c>
      <c r="H386" s="2">
        <v>1800</v>
      </c>
      <c r="I386" s="2">
        <v>142200</v>
      </c>
      <c r="J386" s="2">
        <v>0</v>
      </c>
      <c r="K386" s="2"/>
    </row>
    <row r="387" spans="1:11" x14ac:dyDescent="0.35">
      <c r="A387" s="4" t="s">
        <v>584</v>
      </c>
      <c r="B387" s="4" t="s">
        <v>585</v>
      </c>
      <c r="C387" s="4" t="s">
        <v>96</v>
      </c>
      <c r="D387" s="4" t="s">
        <v>19</v>
      </c>
      <c r="E387" s="4" t="s">
        <v>14</v>
      </c>
      <c r="F387" s="4" t="s">
        <v>171</v>
      </c>
      <c r="G387" s="4">
        <v>101</v>
      </c>
      <c r="H387" s="4">
        <v>700</v>
      </c>
      <c r="I387" s="4">
        <v>70700</v>
      </c>
      <c r="J387" s="4">
        <v>10</v>
      </c>
      <c r="K387" s="4" t="s">
        <v>22</v>
      </c>
    </row>
    <row r="388" spans="1:11" x14ac:dyDescent="0.35">
      <c r="A388" s="2" t="s">
        <v>586</v>
      </c>
      <c r="B388" s="2" t="s">
        <v>587</v>
      </c>
      <c r="C388" s="2" t="s">
        <v>106</v>
      </c>
      <c r="D388" s="2" t="s">
        <v>54</v>
      </c>
      <c r="E388" s="2" t="s">
        <v>20</v>
      </c>
      <c r="F388" s="2" t="s">
        <v>36</v>
      </c>
      <c r="G388" s="2">
        <v>186</v>
      </c>
      <c r="H388" s="2">
        <v>900</v>
      </c>
      <c r="I388" s="2">
        <v>167400</v>
      </c>
      <c r="J388" s="2">
        <v>9</v>
      </c>
      <c r="K388" s="2" t="s">
        <v>85</v>
      </c>
    </row>
    <row r="389" spans="1:11" x14ac:dyDescent="0.35">
      <c r="A389" s="4" t="s">
        <v>588</v>
      </c>
      <c r="B389" s="5">
        <v>45413</v>
      </c>
      <c r="C389" s="4" t="s">
        <v>156</v>
      </c>
      <c r="D389" s="4" t="s">
        <v>589</v>
      </c>
      <c r="E389" s="4" t="s">
        <v>31</v>
      </c>
      <c r="F389" s="4" t="s">
        <v>89</v>
      </c>
      <c r="G389" s="4">
        <v>20</v>
      </c>
      <c r="H389" s="4"/>
      <c r="I389" s="4">
        <v>18000</v>
      </c>
      <c r="J389" s="4">
        <v>1</v>
      </c>
      <c r="K389" s="4" t="s">
        <v>42</v>
      </c>
    </row>
    <row r="390" spans="1:11" x14ac:dyDescent="0.35">
      <c r="A390" s="2" t="s">
        <v>590</v>
      </c>
      <c r="B390" s="3">
        <v>45616</v>
      </c>
      <c r="C390" s="2" t="s">
        <v>83</v>
      </c>
      <c r="D390" s="2" t="s">
        <v>65</v>
      </c>
      <c r="E390" s="2" t="s">
        <v>14</v>
      </c>
      <c r="F390" s="2" t="s">
        <v>61</v>
      </c>
      <c r="G390" s="2">
        <v>133</v>
      </c>
      <c r="H390" s="2">
        <v>2200</v>
      </c>
      <c r="I390" s="2">
        <v>292600</v>
      </c>
      <c r="J390" s="2">
        <v>13</v>
      </c>
      <c r="K390" s="2" t="s">
        <v>37</v>
      </c>
    </row>
    <row r="391" spans="1:11" x14ac:dyDescent="0.35">
      <c r="A391" s="4" t="s">
        <v>591</v>
      </c>
      <c r="B391" s="5">
        <v>45582</v>
      </c>
      <c r="C391" s="4" t="s">
        <v>64</v>
      </c>
      <c r="D391" s="4" t="s">
        <v>54</v>
      </c>
      <c r="E391" s="4"/>
      <c r="F391" s="4" t="s">
        <v>32</v>
      </c>
      <c r="G391" s="4">
        <v>70</v>
      </c>
      <c r="H391" s="4">
        <v>1400</v>
      </c>
      <c r="I391" s="4">
        <v>98000</v>
      </c>
      <c r="J391" s="4">
        <v>5</v>
      </c>
      <c r="K391" s="4" t="s">
        <v>22</v>
      </c>
    </row>
    <row r="392" spans="1:11" x14ac:dyDescent="0.35">
      <c r="A392" s="2" t="s">
        <v>592</v>
      </c>
      <c r="B392" s="3">
        <v>45503</v>
      </c>
      <c r="C392" s="2" t="s">
        <v>88</v>
      </c>
      <c r="D392" s="2" t="s">
        <v>13</v>
      </c>
      <c r="E392" s="2" t="s">
        <v>31</v>
      </c>
      <c r="F392" s="2" t="s">
        <v>81</v>
      </c>
      <c r="G392" s="2">
        <v>117</v>
      </c>
      <c r="H392" s="2">
        <v>650</v>
      </c>
      <c r="I392" s="2">
        <v>76050</v>
      </c>
      <c r="J392" s="2">
        <v>3</v>
      </c>
      <c r="K392" s="2" t="s">
        <v>122</v>
      </c>
    </row>
    <row r="393" spans="1:11" x14ac:dyDescent="0.35">
      <c r="A393" s="4" t="s">
        <v>593</v>
      </c>
      <c r="B393" s="5">
        <v>45421</v>
      </c>
      <c r="C393" s="4" t="s">
        <v>156</v>
      </c>
      <c r="D393" s="4" t="s">
        <v>79</v>
      </c>
      <c r="E393" s="4" t="s">
        <v>20</v>
      </c>
      <c r="F393" s="4" t="s">
        <v>21</v>
      </c>
      <c r="G393" s="4">
        <v>160</v>
      </c>
      <c r="H393" s="4">
        <v>3500</v>
      </c>
      <c r="I393" s="4">
        <v>560000</v>
      </c>
      <c r="J393" s="4">
        <v>13</v>
      </c>
      <c r="K393" s="4" t="s">
        <v>28</v>
      </c>
    </row>
    <row r="394" spans="1:11" x14ac:dyDescent="0.35">
      <c r="A394" s="2" t="s">
        <v>594</v>
      </c>
      <c r="B394" s="3">
        <v>45540</v>
      </c>
      <c r="C394" s="2" t="s">
        <v>12</v>
      </c>
      <c r="D394" s="2" t="s">
        <v>93</v>
      </c>
      <c r="E394" s="2" t="s">
        <v>14</v>
      </c>
      <c r="F394" s="2" t="s">
        <v>70</v>
      </c>
      <c r="G394" s="2">
        <v>74</v>
      </c>
      <c r="H394" s="2">
        <v>1800</v>
      </c>
      <c r="I394" s="2">
        <v>133200</v>
      </c>
      <c r="J394" s="2">
        <v>4</v>
      </c>
      <c r="K394" s="2" t="s">
        <v>33</v>
      </c>
    </row>
    <row r="395" spans="1:11" x14ac:dyDescent="0.35">
      <c r="A395" s="4" t="s">
        <v>595</v>
      </c>
      <c r="B395" s="5">
        <v>45537</v>
      </c>
      <c r="C395" s="4" t="s">
        <v>96</v>
      </c>
      <c r="D395" s="4" t="s">
        <v>54</v>
      </c>
      <c r="E395" s="4" t="s">
        <v>14</v>
      </c>
      <c r="F395" s="4" t="s">
        <v>15</v>
      </c>
      <c r="G395" s="4">
        <v>138</v>
      </c>
      <c r="H395" s="4">
        <v>1200</v>
      </c>
      <c r="I395" s="4">
        <v>165600</v>
      </c>
      <c r="J395" s="4">
        <v>0</v>
      </c>
      <c r="K395" s="4" t="s">
        <v>16</v>
      </c>
    </row>
    <row r="396" spans="1:11" x14ac:dyDescent="0.35">
      <c r="A396" s="2" t="s">
        <v>400</v>
      </c>
      <c r="B396" s="3">
        <v>45341</v>
      </c>
      <c r="C396" s="2" t="s">
        <v>96</v>
      </c>
      <c r="D396" s="2" t="s">
        <v>41</v>
      </c>
      <c r="E396" s="2" t="s">
        <v>14</v>
      </c>
      <c r="F396" s="2" t="s">
        <v>171</v>
      </c>
      <c r="G396" s="2">
        <v>16</v>
      </c>
      <c r="H396" s="2">
        <v>700</v>
      </c>
      <c r="I396" s="2">
        <v>11200</v>
      </c>
      <c r="J396" s="2">
        <v>1</v>
      </c>
      <c r="K396" s="2" t="s">
        <v>46</v>
      </c>
    </row>
    <row r="397" spans="1:11" x14ac:dyDescent="0.35">
      <c r="A397" s="4" t="s">
        <v>596</v>
      </c>
      <c r="B397" s="4" t="s">
        <v>597</v>
      </c>
      <c r="C397" s="4" t="s">
        <v>106</v>
      </c>
      <c r="D397" s="4" t="s">
        <v>79</v>
      </c>
      <c r="E397" s="4" t="s">
        <v>20</v>
      </c>
      <c r="F397" s="4" t="s">
        <v>133</v>
      </c>
      <c r="G397" s="4">
        <v>57</v>
      </c>
      <c r="H397" s="4">
        <v>1200</v>
      </c>
      <c r="I397" s="4">
        <v>68400</v>
      </c>
      <c r="J397" s="4">
        <v>0</v>
      </c>
      <c r="K397" s="4" t="s">
        <v>37</v>
      </c>
    </row>
    <row r="398" spans="1:11" x14ac:dyDescent="0.35">
      <c r="A398" s="2" t="s">
        <v>598</v>
      </c>
      <c r="B398" s="3">
        <v>45492</v>
      </c>
      <c r="C398" s="2" t="s">
        <v>60</v>
      </c>
      <c r="D398" s="2" t="s">
        <v>41</v>
      </c>
      <c r="E398" s="2" t="s">
        <v>31</v>
      </c>
      <c r="F398" s="2" t="s">
        <v>121</v>
      </c>
      <c r="G398" s="2">
        <v>178</v>
      </c>
      <c r="H398" s="2">
        <v>200</v>
      </c>
      <c r="I398" s="2">
        <v>35600</v>
      </c>
      <c r="J398" s="2">
        <v>2</v>
      </c>
      <c r="K398" s="2" t="s">
        <v>33</v>
      </c>
    </row>
    <row r="399" spans="1:11" x14ac:dyDescent="0.35">
      <c r="A399" s="4" t="s">
        <v>599</v>
      </c>
      <c r="B399" s="5">
        <v>45494</v>
      </c>
      <c r="C399" s="4" t="s">
        <v>109</v>
      </c>
      <c r="D399" s="4" t="s">
        <v>19</v>
      </c>
      <c r="E399" s="4" t="s">
        <v>31</v>
      </c>
      <c r="F399" s="4" t="s">
        <v>121</v>
      </c>
      <c r="G399" s="4">
        <v>59</v>
      </c>
      <c r="H399" s="4">
        <v>200</v>
      </c>
      <c r="I399" s="4">
        <v>11800</v>
      </c>
      <c r="J399" s="4">
        <v>0</v>
      </c>
      <c r="K399" s="4" t="s">
        <v>46</v>
      </c>
    </row>
    <row r="400" spans="1:11" x14ac:dyDescent="0.35">
      <c r="A400" s="2" t="s">
        <v>600</v>
      </c>
      <c r="B400" s="3">
        <v>45360</v>
      </c>
      <c r="C400" s="2" t="s">
        <v>74</v>
      </c>
      <c r="D400" s="2" t="s">
        <v>65</v>
      </c>
      <c r="E400" s="2" t="s">
        <v>20</v>
      </c>
      <c r="F400" s="2" t="s">
        <v>153</v>
      </c>
      <c r="G400" s="2">
        <v>7</v>
      </c>
      <c r="H400" s="2">
        <v>2800</v>
      </c>
      <c r="I400" s="2">
        <v>19600</v>
      </c>
      <c r="J400" s="2">
        <v>0</v>
      </c>
      <c r="K400" s="2" t="s">
        <v>37</v>
      </c>
    </row>
    <row r="401" spans="1:11" x14ac:dyDescent="0.35">
      <c r="A401" s="4" t="s">
        <v>601</v>
      </c>
      <c r="B401" s="5">
        <v>45452</v>
      </c>
      <c r="C401" s="4" t="s">
        <v>12</v>
      </c>
      <c r="D401" s="4" t="s">
        <v>41</v>
      </c>
      <c r="E401" s="4" t="s">
        <v>20</v>
      </c>
      <c r="F401" s="4" t="s">
        <v>153</v>
      </c>
      <c r="G401" s="4">
        <v>169</v>
      </c>
      <c r="H401" s="4">
        <v>2800</v>
      </c>
      <c r="I401" s="4">
        <v>473200</v>
      </c>
      <c r="J401" s="4">
        <v>1</v>
      </c>
      <c r="K401" s="4" t="s">
        <v>62</v>
      </c>
    </row>
    <row r="402" spans="1:11" x14ac:dyDescent="0.35">
      <c r="A402" s="2" t="s">
        <v>602</v>
      </c>
      <c r="B402" s="2" t="s">
        <v>603</v>
      </c>
      <c r="C402" s="2" t="s">
        <v>60</v>
      </c>
      <c r="D402" s="2" t="s">
        <v>79</v>
      </c>
      <c r="E402" s="2" t="s">
        <v>31</v>
      </c>
      <c r="F402" s="2" t="s">
        <v>55</v>
      </c>
      <c r="G402" s="2">
        <v>116</v>
      </c>
      <c r="H402" s="2">
        <v>1100</v>
      </c>
      <c r="I402" s="2">
        <v>127600</v>
      </c>
      <c r="J402" s="2">
        <v>11</v>
      </c>
      <c r="K402" s="2" t="s">
        <v>37</v>
      </c>
    </row>
    <row r="403" spans="1:11" x14ac:dyDescent="0.35">
      <c r="A403" s="4" t="s">
        <v>604</v>
      </c>
      <c r="B403" s="5">
        <v>45328</v>
      </c>
      <c r="C403" s="4" t="s">
        <v>88</v>
      </c>
      <c r="D403" s="4" t="s">
        <v>79</v>
      </c>
      <c r="E403" s="4" t="s">
        <v>31</v>
      </c>
      <c r="F403" s="4" t="s">
        <v>58</v>
      </c>
      <c r="G403" s="4">
        <v>168</v>
      </c>
      <c r="H403" s="4">
        <v>850</v>
      </c>
      <c r="I403" s="4">
        <v>142800</v>
      </c>
      <c r="J403" s="4">
        <v>11</v>
      </c>
      <c r="K403" s="4" t="s">
        <v>33</v>
      </c>
    </row>
    <row r="404" spans="1:11" x14ac:dyDescent="0.35">
      <c r="A404" s="2" t="s">
        <v>605</v>
      </c>
      <c r="B404" s="3">
        <v>45590</v>
      </c>
      <c r="C404" s="2" t="s">
        <v>18</v>
      </c>
      <c r="D404" s="2" t="s">
        <v>19</v>
      </c>
      <c r="E404" s="2" t="s">
        <v>31</v>
      </c>
      <c r="F404" s="2" t="s">
        <v>89</v>
      </c>
      <c r="G404" s="2">
        <v>93</v>
      </c>
      <c r="H404" s="2">
        <v>900</v>
      </c>
      <c r="I404" s="2">
        <v>68424.545131645136</v>
      </c>
      <c r="J404" s="2">
        <v>0</v>
      </c>
      <c r="K404" s="2" t="s">
        <v>42</v>
      </c>
    </row>
    <row r="405" spans="1:11" x14ac:dyDescent="0.35">
      <c r="A405" s="4" t="s">
        <v>606</v>
      </c>
      <c r="B405" s="5">
        <v>45503</v>
      </c>
      <c r="C405" s="4" t="s">
        <v>125</v>
      </c>
      <c r="D405" s="4" t="s">
        <v>26</v>
      </c>
      <c r="E405" s="4" t="s">
        <v>31</v>
      </c>
      <c r="F405" s="4" t="s">
        <v>81</v>
      </c>
      <c r="G405" s="4">
        <v>-93</v>
      </c>
      <c r="H405" s="4">
        <v>650</v>
      </c>
      <c r="I405" s="4">
        <v>60450</v>
      </c>
      <c r="J405" s="4">
        <v>7</v>
      </c>
      <c r="K405" s="4" t="s">
        <v>42</v>
      </c>
    </row>
    <row r="406" spans="1:11" x14ac:dyDescent="0.35">
      <c r="A406" s="2" t="s">
        <v>607</v>
      </c>
      <c r="B406" s="3">
        <v>45489</v>
      </c>
      <c r="C406" s="2" t="s">
        <v>51</v>
      </c>
      <c r="D406" s="2" t="s">
        <v>35</v>
      </c>
      <c r="E406" s="2" t="s">
        <v>20</v>
      </c>
      <c r="F406" s="2" t="s">
        <v>52</v>
      </c>
      <c r="G406" s="2">
        <v>161</v>
      </c>
      <c r="H406" s="2">
        <v>450</v>
      </c>
      <c r="I406" s="2">
        <v>72450</v>
      </c>
      <c r="J406" s="2">
        <v>10</v>
      </c>
      <c r="K406" s="2" t="s">
        <v>85</v>
      </c>
    </row>
    <row r="407" spans="1:11" x14ac:dyDescent="0.35">
      <c r="A407" s="4" t="s">
        <v>608</v>
      </c>
      <c r="B407" s="5">
        <v>45523</v>
      </c>
      <c r="C407" s="4" t="s">
        <v>118</v>
      </c>
      <c r="D407" s="4" t="s">
        <v>19</v>
      </c>
      <c r="E407" s="4" t="s">
        <v>20</v>
      </c>
      <c r="F407" s="4" t="s">
        <v>52</v>
      </c>
      <c r="G407" s="4">
        <v>76</v>
      </c>
      <c r="H407" s="4">
        <v>450</v>
      </c>
      <c r="I407" s="4">
        <v>34200</v>
      </c>
      <c r="J407" s="4">
        <v>0</v>
      </c>
      <c r="K407" s="4" t="s">
        <v>16</v>
      </c>
    </row>
    <row r="408" spans="1:11" x14ac:dyDescent="0.35">
      <c r="A408" s="2" t="s">
        <v>609</v>
      </c>
      <c r="B408" s="3">
        <v>45622</v>
      </c>
      <c r="C408" s="2" t="s">
        <v>118</v>
      </c>
      <c r="D408" s="2" t="s">
        <v>13</v>
      </c>
      <c r="E408" s="2" t="s">
        <v>31</v>
      </c>
      <c r="F408" s="2" t="s">
        <v>159</v>
      </c>
      <c r="G408" s="2">
        <v>198</v>
      </c>
      <c r="H408" s="2">
        <v>1800</v>
      </c>
      <c r="I408" s="2">
        <v>356400</v>
      </c>
      <c r="J408" s="2">
        <v>18</v>
      </c>
      <c r="K408" s="2" t="s">
        <v>28</v>
      </c>
    </row>
    <row r="409" spans="1:11" x14ac:dyDescent="0.35">
      <c r="A409" s="4" t="s">
        <v>610</v>
      </c>
      <c r="B409" s="5">
        <v>45422</v>
      </c>
      <c r="C409" s="4" t="s">
        <v>109</v>
      </c>
      <c r="D409" s="4" t="s">
        <v>65</v>
      </c>
      <c r="E409" s="4" t="s">
        <v>31</v>
      </c>
      <c r="F409" s="4" t="s">
        <v>32</v>
      </c>
      <c r="G409" s="4">
        <v>46</v>
      </c>
      <c r="H409" s="4">
        <v>1400</v>
      </c>
      <c r="I409" s="4">
        <v>64400</v>
      </c>
      <c r="J409" s="4">
        <v>1</v>
      </c>
      <c r="K409" s="4" t="s">
        <v>16</v>
      </c>
    </row>
    <row r="410" spans="1:11" x14ac:dyDescent="0.35">
      <c r="A410" s="2" t="s">
        <v>611</v>
      </c>
      <c r="B410" s="2" t="s">
        <v>612</v>
      </c>
      <c r="C410" s="2" t="s">
        <v>64</v>
      </c>
      <c r="D410" s="2" t="s">
        <v>13</v>
      </c>
      <c r="E410" s="2" t="s">
        <v>20</v>
      </c>
      <c r="F410" s="2" t="s">
        <v>133</v>
      </c>
      <c r="G410" s="2">
        <v>72</v>
      </c>
      <c r="H410" s="2">
        <v>1200</v>
      </c>
      <c r="I410" s="2">
        <v>86400</v>
      </c>
      <c r="J410" s="2">
        <v>0</v>
      </c>
      <c r="K410" s="2" t="s">
        <v>33</v>
      </c>
    </row>
    <row r="411" spans="1:11" x14ac:dyDescent="0.35">
      <c r="A411" s="4" t="s">
        <v>613</v>
      </c>
      <c r="B411" s="5">
        <v>45634</v>
      </c>
      <c r="C411" s="4" t="s">
        <v>60</v>
      </c>
      <c r="D411" s="4" t="s">
        <v>41</v>
      </c>
      <c r="E411" s="4" t="s">
        <v>20</v>
      </c>
      <c r="F411" s="4" t="s">
        <v>133</v>
      </c>
      <c r="G411" s="4">
        <v>15</v>
      </c>
      <c r="H411" s="4">
        <v>1200</v>
      </c>
      <c r="I411" s="4">
        <v>18000</v>
      </c>
      <c r="J411" s="4">
        <v>1</v>
      </c>
      <c r="K411" s="4" t="s">
        <v>42</v>
      </c>
    </row>
    <row r="412" spans="1:11" x14ac:dyDescent="0.35">
      <c r="A412" s="2" t="s">
        <v>614</v>
      </c>
      <c r="B412" s="3">
        <v>45512</v>
      </c>
      <c r="C412" s="2" t="s">
        <v>64</v>
      </c>
      <c r="D412" s="2" t="s">
        <v>79</v>
      </c>
      <c r="E412" s="2" t="s">
        <v>20</v>
      </c>
      <c r="F412" s="2" t="s">
        <v>97</v>
      </c>
      <c r="G412" s="2">
        <v>31</v>
      </c>
      <c r="H412" s="2" t="s">
        <v>615</v>
      </c>
      <c r="I412" s="2"/>
      <c r="J412" s="2">
        <v>3</v>
      </c>
      <c r="K412" s="2" t="s">
        <v>33</v>
      </c>
    </row>
    <row r="413" spans="1:11" x14ac:dyDescent="0.35">
      <c r="A413" s="4" t="s">
        <v>616</v>
      </c>
      <c r="B413" s="5">
        <v>45460</v>
      </c>
      <c r="C413" s="4" t="s">
        <v>74</v>
      </c>
      <c r="D413" s="4" t="s">
        <v>13</v>
      </c>
      <c r="E413" s="4" t="s">
        <v>20</v>
      </c>
      <c r="F413" s="4" t="s">
        <v>133</v>
      </c>
      <c r="G413" s="4">
        <v>153</v>
      </c>
      <c r="H413" s="4">
        <v>1200</v>
      </c>
      <c r="I413" s="4">
        <v>183600</v>
      </c>
      <c r="J413" s="4">
        <v>4</v>
      </c>
      <c r="K413" s="4" t="s">
        <v>122</v>
      </c>
    </row>
    <row r="414" spans="1:11" x14ac:dyDescent="0.35">
      <c r="A414" s="2" t="s">
        <v>617</v>
      </c>
      <c r="B414" s="3">
        <v>45566</v>
      </c>
      <c r="C414" s="2" t="s">
        <v>96</v>
      </c>
      <c r="D414" s="2" t="s">
        <v>41</v>
      </c>
      <c r="E414" s="2" t="s">
        <v>14</v>
      </c>
      <c r="F414" s="2" t="s">
        <v>72</v>
      </c>
      <c r="G414" s="2">
        <v>106</v>
      </c>
      <c r="H414" s="2">
        <v>400</v>
      </c>
      <c r="I414" s="2">
        <v>42400</v>
      </c>
      <c r="J414" s="2">
        <v>5</v>
      </c>
      <c r="K414" s="2" t="s">
        <v>85</v>
      </c>
    </row>
    <row r="415" spans="1:11" x14ac:dyDescent="0.35">
      <c r="A415" s="4" t="s">
        <v>618</v>
      </c>
      <c r="B415" s="4" t="s">
        <v>619</v>
      </c>
      <c r="C415" s="4" t="s">
        <v>83</v>
      </c>
      <c r="D415" s="4" t="s">
        <v>26</v>
      </c>
      <c r="E415" s="4" t="s">
        <v>14</v>
      </c>
      <c r="F415" s="4" t="s">
        <v>171</v>
      </c>
      <c r="G415" s="4">
        <v>42</v>
      </c>
      <c r="H415" s="4">
        <v>700</v>
      </c>
      <c r="I415" s="4">
        <v>29400</v>
      </c>
      <c r="J415" s="4">
        <v>0</v>
      </c>
      <c r="K415" s="4" t="s">
        <v>33</v>
      </c>
    </row>
    <row r="416" spans="1:11" x14ac:dyDescent="0.35">
      <c r="A416" s="2" t="s">
        <v>620</v>
      </c>
      <c r="B416" s="2" t="s">
        <v>621</v>
      </c>
      <c r="C416" s="2" t="s">
        <v>366</v>
      </c>
      <c r="D416" s="2" t="s">
        <v>49</v>
      </c>
      <c r="E416" s="2" t="s">
        <v>14</v>
      </c>
      <c r="F416" s="2" t="s">
        <v>72</v>
      </c>
      <c r="G416" s="2">
        <v>159</v>
      </c>
      <c r="H416" s="2">
        <v>400</v>
      </c>
      <c r="I416" s="2">
        <v>63600</v>
      </c>
      <c r="J416" s="2">
        <v>0</v>
      </c>
      <c r="K416" s="2" t="s">
        <v>28</v>
      </c>
    </row>
    <row r="417" spans="1:11" x14ac:dyDescent="0.35">
      <c r="A417" s="4" t="s">
        <v>622</v>
      </c>
      <c r="B417" s="5">
        <v>45479</v>
      </c>
      <c r="C417" s="4" t="s">
        <v>40</v>
      </c>
      <c r="D417" s="4" t="s">
        <v>54</v>
      </c>
      <c r="E417" s="4" t="s">
        <v>14</v>
      </c>
      <c r="F417" s="4" t="s">
        <v>171</v>
      </c>
      <c r="G417" s="4">
        <v>128</v>
      </c>
      <c r="H417" s="4">
        <v>700</v>
      </c>
      <c r="I417" s="4">
        <v>89600</v>
      </c>
      <c r="J417" s="4">
        <v>7</v>
      </c>
      <c r="K417" s="4" t="s">
        <v>16</v>
      </c>
    </row>
    <row r="418" spans="1:11" x14ac:dyDescent="0.35">
      <c r="A418" s="2" t="s">
        <v>623</v>
      </c>
      <c r="B418" s="2" t="s">
        <v>624</v>
      </c>
      <c r="C418" s="2" t="s">
        <v>18</v>
      </c>
      <c r="D418" s="2" t="s">
        <v>26</v>
      </c>
      <c r="E418" s="2" t="s">
        <v>14</v>
      </c>
      <c r="F418" s="2" t="s">
        <v>70</v>
      </c>
      <c r="G418" s="2">
        <v>27</v>
      </c>
      <c r="H418" s="2">
        <v>1800</v>
      </c>
      <c r="I418" s="2">
        <v>48600</v>
      </c>
      <c r="J418" s="2">
        <v>0</v>
      </c>
      <c r="K418" s="2" t="s">
        <v>85</v>
      </c>
    </row>
    <row r="419" spans="1:11" x14ac:dyDescent="0.35">
      <c r="A419" s="4" t="s">
        <v>625</v>
      </c>
      <c r="B419" s="5">
        <v>45476</v>
      </c>
      <c r="C419" s="4" t="s">
        <v>74</v>
      </c>
      <c r="D419" s="4" t="s">
        <v>132</v>
      </c>
      <c r="E419" s="4" t="s">
        <v>14</v>
      </c>
      <c r="F419" s="4" t="s">
        <v>27</v>
      </c>
      <c r="G419" s="4">
        <v>28</v>
      </c>
      <c r="H419" s="4">
        <v>1600</v>
      </c>
      <c r="I419" s="4">
        <v>44800</v>
      </c>
      <c r="J419" s="4">
        <v>1</v>
      </c>
      <c r="K419" s="4" t="s">
        <v>85</v>
      </c>
    </row>
    <row r="420" spans="1:11" x14ac:dyDescent="0.35">
      <c r="A420" s="2" t="s">
        <v>626</v>
      </c>
      <c r="B420" s="3">
        <v>45436</v>
      </c>
      <c r="C420" s="2" t="s">
        <v>118</v>
      </c>
      <c r="D420" s="2"/>
      <c r="E420" s="2" t="s">
        <v>14</v>
      </c>
      <c r="F420" s="2" t="s">
        <v>15</v>
      </c>
      <c r="G420" s="2">
        <v>145</v>
      </c>
      <c r="H420" s="2"/>
      <c r="I420" s="2">
        <v>174000</v>
      </c>
      <c r="J420" s="2">
        <v>11</v>
      </c>
      <c r="K420" s="2" t="s">
        <v>46</v>
      </c>
    </row>
    <row r="421" spans="1:11" x14ac:dyDescent="0.35">
      <c r="A421" s="4" t="s">
        <v>627</v>
      </c>
      <c r="B421" s="4" t="s">
        <v>628</v>
      </c>
      <c r="C421" s="4" t="s">
        <v>88</v>
      </c>
      <c r="D421" s="4" t="s">
        <v>41</v>
      </c>
      <c r="E421" s="4" t="s">
        <v>31</v>
      </c>
      <c r="F421" s="4" t="s">
        <v>159</v>
      </c>
      <c r="G421" s="4">
        <v>113</v>
      </c>
      <c r="H421" s="4">
        <v>1800</v>
      </c>
      <c r="I421" s="4">
        <v>203400</v>
      </c>
      <c r="J421" s="4">
        <v>1</v>
      </c>
      <c r="K421" s="4" t="s">
        <v>28</v>
      </c>
    </row>
    <row r="422" spans="1:11" x14ac:dyDescent="0.35">
      <c r="A422" s="2" t="s">
        <v>629</v>
      </c>
      <c r="B422" s="3">
        <v>45437</v>
      </c>
      <c r="C422" s="2" t="s">
        <v>69</v>
      </c>
      <c r="D422" s="2" t="s">
        <v>26</v>
      </c>
      <c r="E422" s="2" t="s">
        <v>20</v>
      </c>
      <c r="F422" s="2" t="s">
        <v>21</v>
      </c>
      <c r="G422" s="2">
        <v>19</v>
      </c>
      <c r="H422" s="2">
        <v>3500</v>
      </c>
      <c r="I422" s="2">
        <v>66500</v>
      </c>
      <c r="J422" s="2">
        <v>0</v>
      </c>
      <c r="K422" s="2" t="s">
        <v>16</v>
      </c>
    </row>
    <row r="423" spans="1:11" x14ac:dyDescent="0.35">
      <c r="A423" s="4" t="s">
        <v>630</v>
      </c>
      <c r="B423" s="5">
        <v>45373</v>
      </c>
      <c r="C423" s="4" t="s">
        <v>112</v>
      </c>
      <c r="D423" s="4" t="s">
        <v>79</v>
      </c>
      <c r="E423" s="4" t="s">
        <v>14</v>
      </c>
      <c r="F423" s="4" t="s">
        <v>99</v>
      </c>
      <c r="G423" s="4">
        <v>132</v>
      </c>
      <c r="H423" s="4" t="s">
        <v>631</v>
      </c>
      <c r="I423" s="4">
        <v>198000</v>
      </c>
      <c r="J423" s="4">
        <v>3</v>
      </c>
      <c r="K423" s="4" t="s">
        <v>62</v>
      </c>
    </row>
    <row r="424" spans="1:11" x14ac:dyDescent="0.35">
      <c r="A424" s="2" t="s">
        <v>632</v>
      </c>
      <c r="B424" s="3">
        <v>45654</v>
      </c>
      <c r="C424" s="2" t="s">
        <v>88</v>
      </c>
      <c r="D424" s="2" t="s">
        <v>93</v>
      </c>
      <c r="E424" s="2" t="s">
        <v>14</v>
      </c>
      <c r="F424" s="2" t="s">
        <v>99</v>
      </c>
      <c r="G424" s="2">
        <v>-20</v>
      </c>
      <c r="H424" s="2">
        <v>1500</v>
      </c>
      <c r="I424" s="2">
        <v>30000</v>
      </c>
      <c r="J424" s="2">
        <v>1</v>
      </c>
      <c r="K424" s="2"/>
    </row>
    <row r="425" spans="1:11" x14ac:dyDescent="0.35">
      <c r="A425" s="4" t="s">
        <v>633</v>
      </c>
      <c r="B425" s="5">
        <v>45463</v>
      </c>
      <c r="C425" s="4" t="s">
        <v>165</v>
      </c>
      <c r="D425" s="4" t="s">
        <v>79</v>
      </c>
      <c r="E425" s="4" t="s">
        <v>20</v>
      </c>
      <c r="F425" s="4" t="s">
        <v>153</v>
      </c>
      <c r="G425" s="4">
        <v>184</v>
      </c>
      <c r="H425" s="4">
        <v>2800</v>
      </c>
      <c r="I425" s="4">
        <v>515200</v>
      </c>
      <c r="J425" s="4">
        <v>8</v>
      </c>
      <c r="K425" s="4" t="s">
        <v>85</v>
      </c>
    </row>
    <row r="426" spans="1:11" x14ac:dyDescent="0.35">
      <c r="A426" s="2" t="s">
        <v>634</v>
      </c>
      <c r="B426" s="2" t="s">
        <v>635</v>
      </c>
      <c r="C426" s="2" t="s">
        <v>64</v>
      </c>
      <c r="D426" s="2" t="s">
        <v>13</v>
      </c>
      <c r="E426" s="2" t="s">
        <v>20</v>
      </c>
      <c r="F426" s="2" t="s">
        <v>133</v>
      </c>
      <c r="G426" s="2">
        <v>73</v>
      </c>
      <c r="H426" s="2">
        <v>1200</v>
      </c>
      <c r="I426" s="2">
        <v>87600</v>
      </c>
      <c r="J426" s="2">
        <v>3</v>
      </c>
      <c r="K426" s="2" t="s">
        <v>46</v>
      </c>
    </row>
    <row r="427" spans="1:11" x14ac:dyDescent="0.35">
      <c r="A427" s="4" t="s">
        <v>636</v>
      </c>
      <c r="B427" s="5">
        <v>45418</v>
      </c>
      <c r="C427" s="4" t="s">
        <v>69</v>
      </c>
      <c r="D427" s="4" t="s">
        <v>79</v>
      </c>
      <c r="E427" s="4" t="s">
        <v>14</v>
      </c>
      <c r="F427" s="4" t="s">
        <v>99</v>
      </c>
      <c r="G427" s="4">
        <v>27</v>
      </c>
      <c r="H427" s="4">
        <v>1500</v>
      </c>
      <c r="I427" s="4">
        <v>40500</v>
      </c>
      <c r="J427" s="4">
        <v>0</v>
      </c>
      <c r="K427" s="4" t="s">
        <v>46</v>
      </c>
    </row>
    <row r="428" spans="1:11" x14ac:dyDescent="0.35">
      <c r="A428" s="2" t="s">
        <v>637</v>
      </c>
      <c r="B428" s="3">
        <v>45405</v>
      </c>
      <c r="C428" s="2" t="s">
        <v>30</v>
      </c>
      <c r="D428" s="2" t="s">
        <v>65</v>
      </c>
      <c r="E428" s="2" t="s">
        <v>20</v>
      </c>
      <c r="F428" s="2" t="s">
        <v>52</v>
      </c>
      <c r="G428" s="2">
        <v>34</v>
      </c>
      <c r="H428" s="2">
        <v>450</v>
      </c>
      <c r="I428" s="2">
        <v>15300</v>
      </c>
      <c r="J428" s="2">
        <v>1</v>
      </c>
      <c r="K428" s="2" t="s">
        <v>62</v>
      </c>
    </row>
    <row r="429" spans="1:11" x14ac:dyDescent="0.35">
      <c r="A429" s="4" t="s">
        <v>588</v>
      </c>
      <c r="B429" s="5">
        <v>45413</v>
      </c>
      <c r="C429" s="4" t="s">
        <v>156</v>
      </c>
      <c r="D429" s="4" t="s">
        <v>589</v>
      </c>
      <c r="E429" s="4" t="s">
        <v>31</v>
      </c>
      <c r="F429" s="4" t="s">
        <v>89</v>
      </c>
      <c r="G429" s="4">
        <v>20</v>
      </c>
      <c r="H429" s="4"/>
      <c r="I429" s="4">
        <v>18000</v>
      </c>
      <c r="J429" s="4">
        <v>1</v>
      </c>
      <c r="K429" s="4" t="s">
        <v>42</v>
      </c>
    </row>
    <row r="430" spans="1:11" x14ac:dyDescent="0.35">
      <c r="A430" s="2" t="s">
        <v>638</v>
      </c>
      <c r="B430" s="3">
        <v>45635</v>
      </c>
      <c r="C430" s="2" t="s">
        <v>40</v>
      </c>
      <c r="D430" s="2" t="s">
        <v>49</v>
      </c>
      <c r="E430" s="2" t="s">
        <v>31</v>
      </c>
      <c r="F430" s="2" t="s">
        <v>32</v>
      </c>
      <c r="G430" s="2">
        <v>-52</v>
      </c>
      <c r="H430" s="2">
        <v>1400</v>
      </c>
      <c r="I430" s="2">
        <v>72800</v>
      </c>
      <c r="J430" s="2">
        <v>3</v>
      </c>
      <c r="K430" s="2"/>
    </row>
    <row r="431" spans="1:11" x14ac:dyDescent="0.35">
      <c r="A431" s="4" t="s">
        <v>639</v>
      </c>
      <c r="B431" s="4" t="s">
        <v>640</v>
      </c>
      <c r="C431" s="4" t="s">
        <v>30</v>
      </c>
      <c r="D431" s="4" t="s">
        <v>49</v>
      </c>
      <c r="E431" s="4" t="s">
        <v>20</v>
      </c>
      <c r="F431" s="4" t="s">
        <v>21</v>
      </c>
      <c r="G431" s="4">
        <v>61</v>
      </c>
      <c r="H431" s="4">
        <v>3500</v>
      </c>
      <c r="I431" s="4">
        <v>213500</v>
      </c>
      <c r="J431" s="4">
        <v>2</v>
      </c>
      <c r="K431" s="4" t="s">
        <v>22</v>
      </c>
    </row>
    <row r="432" spans="1:11" x14ac:dyDescent="0.35">
      <c r="A432" s="2" t="s">
        <v>641</v>
      </c>
      <c r="B432" s="3">
        <v>45551</v>
      </c>
      <c r="C432" s="2" t="s">
        <v>44</v>
      </c>
      <c r="D432" s="2" t="s">
        <v>35</v>
      </c>
      <c r="E432" s="2" t="s">
        <v>20</v>
      </c>
      <c r="F432" s="2" t="s">
        <v>97</v>
      </c>
      <c r="G432" s="2">
        <v>155</v>
      </c>
      <c r="H432" s="2">
        <v>500</v>
      </c>
      <c r="I432" s="2">
        <v>77500</v>
      </c>
      <c r="J432" s="2">
        <v>15</v>
      </c>
      <c r="K432" s="2" t="s">
        <v>22</v>
      </c>
    </row>
    <row r="433" spans="1:11" x14ac:dyDescent="0.35">
      <c r="A433" s="4" t="s">
        <v>642</v>
      </c>
      <c r="B433" s="4" t="s">
        <v>643</v>
      </c>
      <c r="C433" s="4" t="s">
        <v>418</v>
      </c>
      <c r="D433" s="4" t="s">
        <v>13</v>
      </c>
      <c r="E433" s="4" t="s">
        <v>31</v>
      </c>
      <c r="F433" s="4" t="s">
        <v>89</v>
      </c>
      <c r="G433" s="4">
        <v>160</v>
      </c>
      <c r="H433" s="4">
        <v>900</v>
      </c>
      <c r="I433" s="4">
        <v>144000</v>
      </c>
      <c r="J433" s="4">
        <v>14</v>
      </c>
      <c r="K433" s="4" t="s">
        <v>42</v>
      </c>
    </row>
    <row r="434" spans="1:11" x14ac:dyDescent="0.35">
      <c r="A434" s="2" t="s">
        <v>644</v>
      </c>
      <c r="B434" s="3">
        <v>45356</v>
      </c>
      <c r="C434" s="2" t="s">
        <v>51</v>
      </c>
      <c r="D434" s="2" t="s">
        <v>35</v>
      </c>
      <c r="E434" s="2" t="s">
        <v>31</v>
      </c>
      <c r="F434" s="2" t="s">
        <v>45</v>
      </c>
      <c r="G434" s="2">
        <v>135</v>
      </c>
      <c r="H434" s="2">
        <v>1200</v>
      </c>
      <c r="I434" s="2">
        <v>162000</v>
      </c>
      <c r="J434" s="2">
        <v>0</v>
      </c>
      <c r="K434" s="2" t="s">
        <v>33</v>
      </c>
    </row>
    <row r="435" spans="1:11" x14ac:dyDescent="0.35">
      <c r="A435" s="4" t="s">
        <v>645</v>
      </c>
      <c r="B435" s="5">
        <v>45589</v>
      </c>
      <c r="C435" s="4" t="s">
        <v>51</v>
      </c>
      <c r="D435" s="4" t="s">
        <v>41</v>
      </c>
      <c r="E435" s="4" t="s">
        <v>31</v>
      </c>
      <c r="F435" s="4" t="s">
        <v>121</v>
      </c>
      <c r="G435" s="4">
        <v>81</v>
      </c>
      <c r="H435" s="4">
        <v>200</v>
      </c>
      <c r="I435" s="4">
        <v>16200</v>
      </c>
      <c r="J435" s="4">
        <v>6</v>
      </c>
      <c r="K435" s="4" t="s">
        <v>85</v>
      </c>
    </row>
    <row r="436" spans="1:11" x14ac:dyDescent="0.35">
      <c r="A436" s="2" t="s">
        <v>646</v>
      </c>
      <c r="B436" s="3">
        <v>45604</v>
      </c>
      <c r="C436" s="2" t="s">
        <v>366</v>
      </c>
      <c r="D436" s="2" t="s">
        <v>49</v>
      </c>
      <c r="E436" s="2" t="s">
        <v>31</v>
      </c>
      <c r="F436" s="2" t="s">
        <v>58</v>
      </c>
      <c r="G436" s="2">
        <v>189</v>
      </c>
      <c r="H436" s="2">
        <v>850</v>
      </c>
      <c r="I436" s="2">
        <v>160650</v>
      </c>
      <c r="J436" s="2">
        <v>1</v>
      </c>
      <c r="K436" s="2" t="s">
        <v>46</v>
      </c>
    </row>
    <row r="437" spans="1:11" x14ac:dyDescent="0.35">
      <c r="A437" s="4" t="s">
        <v>647</v>
      </c>
      <c r="B437" s="4" t="s">
        <v>648</v>
      </c>
      <c r="C437" s="4" t="s">
        <v>83</v>
      </c>
      <c r="D437" s="4" t="s">
        <v>54</v>
      </c>
      <c r="E437" s="4" t="s">
        <v>14</v>
      </c>
      <c r="F437" s="4" t="s">
        <v>27</v>
      </c>
      <c r="G437" s="4">
        <v>154</v>
      </c>
      <c r="H437" s="4">
        <v>1600</v>
      </c>
      <c r="I437" s="4">
        <v>246400</v>
      </c>
      <c r="J437" s="4">
        <v>12</v>
      </c>
      <c r="K437" s="4" t="s">
        <v>37</v>
      </c>
    </row>
    <row r="438" spans="1:11" x14ac:dyDescent="0.35">
      <c r="A438" s="2" t="s">
        <v>649</v>
      </c>
      <c r="B438" s="3">
        <v>45447</v>
      </c>
      <c r="C438" s="2" t="s">
        <v>118</v>
      </c>
      <c r="D438" s="2" t="s">
        <v>93</v>
      </c>
      <c r="E438" s="2" t="s">
        <v>20</v>
      </c>
      <c r="F438" s="2" t="s">
        <v>133</v>
      </c>
      <c r="G438" s="2">
        <v>156</v>
      </c>
      <c r="H438" s="2">
        <v>1200</v>
      </c>
      <c r="I438" s="2">
        <v>187200</v>
      </c>
      <c r="J438" s="2">
        <v>10</v>
      </c>
      <c r="K438" s="2" t="s">
        <v>46</v>
      </c>
    </row>
    <row r="439" spans="1:11" x14ac:dyDescent="0.35">
      <c r="A439" s="4" t="s">
        <v>650</v>
      </c>
      <c r="B439" s="4" t="s">
        <v>651</v>
      </c>
      <c r="C439" s="4" t="s">
        <v>30</v>
      </c>
      <c r="D439" s="4" t="s">
        <v>19</v>
      </c>
      <c r="E439" s="4" t="s">
        <v>31</v>
      </c>
      <c r="F439" s="4" t="s">
        <v>159</v>
      </c>
      <c r="G439" s="4">
        <v>-106</v>
      </c>
      <c r="H439" s="4">
        <v>1800</v>
      </c>
      <c r="I439" s="4">
        <v>190800</v>
      </c>
      <c r="J439" s="4">
        <v>4</v>
      </c>
      <c r="K439" s="4" t="s">
        <v>33</v>
      </c>
    </row>
    <row r="440" spans="1:11" x14ac:dyDescent="0.35">
      <c r="A440" s="2" t="s">
        <v>652</v>
      </c>
      <c r="B440" s="2" t="s">
        <v>653</v>
      </c>
      <c r="C440" s="2" t="s">
        <v>30</v>
      </c>
      <c r="D440" s="2" t="s">
        <v>19</v>
      </c>
      <c r="E440" s="2" t="s">
        <v>20</v>
      </c>
      <c r="F440" s="2" t="s">
        <v>36</v>
      </c>
      <c r="G440" s="2">
        <v>127</v>
      </c>
      <c r="H440" s="2">
        <v>900</v>
      </c>
      <c r="I440" s="2">
        <v>114300</v>
      </c>
      <c r="J440" s="2">
        <v>0</v>
      </c>
      <c r="K440" s="2" t="s">
        <v>33</v>
      </c>
    </row>
    <row r="441" spans="1:11" x14ac:dyDescent="0.35">
      <c r="A441" s="4" t="s">
        <v>654</v>
      </c>
      <c r="B441" s="5">
        <v>45597</v>
      </c>
      <c r="C441" s="4" t="s">
        <v>30</v>
      </c>
      <c r="D441" s="4" t="s">
        <v>79</v>
      </c>
      <c r="E441" s="4" t="s">
        <v>14</v>
      </c>
      <c r="F441" s="4" t="s">
        <v>27</v>
      </c>
      <c r="G441" s="4">
        <v>56</v>
      </c>
      <c r="H441" s="4">
        <v>1600</v>
      </c>
      <c r="I441" s="4">
        <v>89600</v>
      </c>
      <c r="J441" s="4">
        <v>0</v>
      </c>
      <c r="K441" s="4" t="s">
        <v>46</v>
      </c>
    </row>
    <row r="442" spans="1:11" x14ac:dyDescent="0.35">
      <c r="A442" s="2" t="s">
        <v>655</v>
      </c>
      <c r="B442" s="3">
        <v>45391</v>
      </c>
      <c r="C442" s="2" t="s">
        <v>44</v>
      </c>
      <c r="D442" s="2" t="s">
        <v>79</v>
      </c>
      <c r="E442" s="2" t="s">
        <v>20</v>
      </c>
      <c r="F442" s="2" t="s">
        <v>21</v>
      </c>
      <c r="G442" s="2">
        <v>193</v>
      </c>
      <c r="H442" s="2">
        <v>3500</v>
      </c>
      <c r="I442" s="2">
        <v>675500</v>
      </c>
      <c r="J442" s="2">
        <v>10</v>
      </c>
      <c r="K442" s="2"/>
    </row>
    <row r="443" spans="1:11" x14ac:dyDescent="0.35">
      <c r="A443" s="4" t="s">
        <v>656</v>
      </c>
      <c r="B443" s="5">
        <v>45569</v>
      </c>
      <c r="C443" s="4" t="s">
        <v>25</v>
      </c>
      <c r="D443" s="4" t="s">
        <v>65</v>
      </c>
      <c r="E443" s="4" t="s">
        <v>20</v>
      </c>
      <c r="F443" s="4" t="s">
        <v>52</v>
      </c>
      <c r="G443" s="4">
        <v>194</v>
      </c>
      <c r="H443" s="4">
        <v>450</v>
      </c>
      <c r="I443" s="4">
        <v>87300</v>
      </c>
      <c r="J443" s="4">
        <v>16</v>
      </c>
      <c r="K443" s="4" t="s">
        <v>42</v>
      </c>
    </row>
    <row r="444" spans="1:11" x14ac:dyDescent="0.35">
      <c r="A444" s="2" t="s">
        <v>657</v>
      </c>
      <c r="B444" s="3">
        <v>45332</v>
      </c>
      <c r="C444" s="2" t="s">
        <v>109</v>
      </c>
      <c r="D444" s="2" t="s">
        <v>41</v>
      </c>
      <c r="E444" s="2" t="s">
        <v>20</v>
      </c>
      <c r="F444" s="2" t="s">
        <v>133</v>
      </c>
      <c r="G444" s="2">
        <v>132</v>
      </c>
      <c r="H444" s="2">
        <v>1200</v>
      </c>
      <c r="I444" s="2">
        <v>158400</v>
      </c>
      <c r="J444" s="2">
        <v>0</v>
      </c>
      <c r="K444" s="2" t="s">
        <v>42</v>
      </c>
    </row>
    <row r="445" spans="1:11" x14ac:dyDescent="0.35">
      <c r="A445" s="4" t="s">
        <v>658</v>
      </c>
      <c r="B445" s="5">
        <v>45378</v>
      </c>
      <c r="C445" s="4" t="s">
        <v>69</v>
      </c>
      <c r="D445" s="4" t="s">
        <v>19</v>
      </c>
      <c r="E445" s="4" t="s">
        <v>20</v>
      </c>
      <c r="F445" s="4" t="s">
        <v>97</v>
      </c>
      <c r="G445" s="4">
        <v>141</v>
      </c>
      <c r="H445" s="4">
        <v>500</v>
      </c>
      <c r="I445" s="4">
        <v>45158.597711842303</v>
      </c>
      <c r="J445" s="4">
        <v>0</v>
      </c>
      <c r="K445" s="4" t="s">
        <v>16</v>
      </c>
    </row>
    <row r="446" spans="1:11" x14ac:dyDescent="0.35">
      <c r="A446" s="2" t="s">
        <v>659</v>
      </c>
      <c r="B446" s="3">
        <v>45516</v>
      </c>
      <c r="C446" s="2" t="s">
        <v>83</v>
      </c>
      <c r="D446" s="2" t="s">
        <v>54</v>
      </c>
      <c r="E446" s="2" t="s">
        <v>14</v>
      </c>
      <c r="F446" s="2" t="s">
        <v>99</v>
      </c>
      <c r="G446" s="2">
        <v>77</v>
      </c>
      <c r="H446" s="2">
        <v>1500</v>
      </c>
      <c r="I446" s="2">
        <v>115500</v>
      </c>
      <c r="J446" s="2">
        <v>0</v>
      </c>
      <c r="K446" s="2" t="s">
        <v>22</v>
      </c>
    </row>
    <row r="447" spans="1:11" x14ac:dyDescent="0.35">
      <c r="A447" s="4" t="s">
        <v>660</v>
      </c>
      <c r="B447" s="4" t="s">
        <v>272</v>
      </c>
      <c r="C447" s="4" t="s">
        <v>18</v>
      </c>
      <c r="D447" s="4" t="s">
        <v>93</v>
      </c>
      <c r="E447" s="4" t="s">
        <v>20</v>
      </c>
      <c r="F447" s="4" t="s">
        <v>153</v>
      </c>
      <c r="G447" s="4">
        <v>-126</v>
      </c>
      <c r="H447" s="4">
        <v>2800</v>
      </c>
      <c r="I447" s="4">
        <v>352800</v>
      </c>
      <c r="J447" s="4">
        <v>0</v>
      </c>
      <c r="K447" s="4" t="s">
        <v>62</v>
      </c>
    </row>
    <row r="448" spans="1:11" x14ac:dyDescent="0.35">
      <c r="A448" s="2" t="s">
        <v>661</v>
      </c>
      <c r="B448" s="3">
        <v>45487</v>
      </c>
      <c r="C448" s="2" t="s">
        <v>60</v>
      </c>
      <c r="D448" s="2" t="s">
        <v>13</v>
      </c>
      <c r="E448" s="2" t="s">
        <v>14</v>
      </c>
      <c r="F448" s="2" t="s">
        <v>70</v>
      </c>
      <c r="G448" s="2">
        <v>95</v>
      </c>
      <c r="H448" s="2"/>
      <c r="I448" s="2">
        <v>171000</v>
      </c>
      <c r="J448" s="2">
        <v>0</v>
      </c>
      <c r="K448" s="2" t="s">
        <v>16</v>
      </c>
    </row>
    <row r="449" spans="1:11" x14ac:dyDescent="0.35">
      <c r="A449" s="4" t="s">
        <v>662</v>
      </c>
      <c r="B449" s="5">
        <v>45339</v>
      </c>
      <c r="C449" s="4" t="s">
        <v>44</v>
      </c>
      <c r="D449" s="4" t="s">
        <v>79</v>
      </c>
      <c r="E449" s="4" t="s">
        <v>20</v>
      </c>
      <c r="F449" s="4" t="s">
        <v>133</v>
      </c>
      <c r="G449" s="4">
        <v>53</v>
      </c>
      <c r="H449" s="4">
        <v>1200</v>
      </c>
      <c r="I449" s="4">
        <v>63600</v>
      </c>
      <c r="J449" s="4">
        <v>2</v>
      </c>
      <c r="K449" s="4" t="s">
        <v>37</v>
      </c>
    </row>
    <row r="450" spans="1:11" x14ac:dyDescent="0.35">
      <c r="A450" s="2" t="s">
        <v>663</v>
      </c>
      <c r="B450" s="2" t="s">
        <v>664</v>
      </c>
      <c r="C450" s="2" t="s">
        <v>51</v>
      </c>
      <c r="D450" s="2" t="s">
        <v>13</v>
      </c>
      <c r="E450" s="2" t="s">
        <v>14</v>
      </c>
      <c r="F450" s="2" t="s">
        <v>99</v>
      </c>
      <c r="G450" s="2">
        <v>17</v>
      </c>
      <c r="H450" s="2">
        <v>1500</v>
      </c>
      <c r="I450" s="2">
        <v>25500</v>
      </c>
      <c r="J450" s="2">
        <v>0</v>
      </c>
      <c r="K450" s="2" t="s">
        <v>46</v>
      </c>
    </row>
    <row r="451" spans="1:11" x14ac:dyDescent="0.35">
      <c r="A451" s="4" t="s">
        <v>665</v>
      </c>
      <c r="B451" s="5">
        <v>45361</v>
      </c>
      <c r="C451" s="4" t="s">
        <v>83</v>
      </c>
      <c r="D451" s="4" t="s">
        <v>13</v>
      </c>
      <c r="E451" s="4" t="s">
        <v>14</v>
      </c>
      <c r="F451" s="4" t="s">
        <v>99</v>
      </c>
      <c r="G451" s="4">
        <v>50</v>
      </c>
      <c r="H451" s="4">
        <v>1500</v>
      </c>
      <c r="I451" s="4">
        <v>75000</v>
      </c>
      <c r="J451" s="4">
        <v>3</v>
      </c>
      <c r="K451" s="4" t="s">
        <v>46</v>
      </c>
    </row>
    <row r="452" spans="1:11" x14ac:dyDescent="0.35">
      <c r="A452" s="2" t="s">
        <v>666</v>
      </c>
      <c r="B452" s="3">
        <v>45543</v>
      </c>
      <c r="C452" s="2" t="s">
        <v>44</v>
      </c>
      <c r="D452" s="2" t="s">
        <v>41</v>
      </c>
      <c r="E452" s="2" t="s">
        <v>14</v>
      </c>
      <c r="F452" s="2" t="s">
        <v>70</v>
      </c>
      <c r="G452" s="2">
        <v>127</v>
      </c>
      <c r="H452" s="2">
        <v>1800</v>
      </c>
      <c r="I452" s="2">
        <v>393965.27968754491</v>
      </c>
      <c r="J452" s="2">
        <v>1</v>
      </c>
      <c r="K452" s="2" t="s">
        <v>122</v>
      </c>
    </row>
    <row r="453" spans="1:11" x14ac:dyDescent="0.35">
      <c r="A453" s="4" t="s">
        <v>667</v>
      </c>
      <c r="B453" s="5">
        <v>45321</v>
      </c>
      <c r="C453" s="4" t="s">
        <v>25</v>
      </c>
      <c r="D453" s="4" t="s">
        <v>54</v>
      </c>
      <c r="E453" s="4" t="s">
        <v>14</v>
      </c>
      <c r="F453" s="4" t="s">
        <v>61</v>
      </c>
      <c r="G453" s="4">
        <v>18</v>
      </c>
      <c r="H453" s="4">
        <v>2200</v>
      </c>
      <c r="I453" s="4">
        <v>39600</v>
      </c>
      <c r="J453" s="4">
        <v>1</v>
      </c>
      <c r="K453" s="4" t="s">
        <v>42</v>
      </c>
    </row>
    <row r="454" spans="1:11" x14ac:dyDescent="0.35">
      <c r="A454" s="2" t="s">
        <v>668</v>
      </c>
      <c r="B454" s="3">
        <v>45328</v>
      </c>
      <c r="C454" s="2" t="s">
        <v>60</v>
      </c>
      <c r="D454" s="2" t="s">
        <v>35</v>
      </c>
      <c r="E454" s="2" t="s">
        <v>14</v>
      </c>
      <c r="F454" s="2" t="s">
        <v>70</v>
      </c>
      <c r="G454" s="2">
        <v>120</v>
      </c>
      <c r="H454" s="2">
        <v>1800</v>
      </c>
      <c r="I454" s="2">
        <v>297062.28403762181</v>
      </c>
      <c r="J454" s="2">
        <v>10</v>
      </c>
      <c r="K454" s="2" t="s">
        <v>46</v>
      </c>
    </row>
    <row r="455" spans="1:11" x14ac:dyDescent="0.35">
      <c r="A455" s="4" t="s">
        <v>669</v>
      </c>
      <c r="B455" s="5">
        <v>45533</v>
      </c>
      <c r="C455" s="4" t="s">
        <v>51</v>
      </c>
      <c r="D455" s="4" t="s">
        <v>315</v>
      </c>
      <c r="E455" s="4" t="s">
        <v>20</v>
      </c>
      <c r="F455" s="4" t="s">
        <v>133</v>
      </c>
      <c r="G455" s="4">
        <v>170</v>
      </c>
      <c r="H455" s="4">
        <v>1200</v>
      </c>
      <c r="I455" s="4">
        <v>204000</v>
      </c>
      <c r="J455" s="4">
        <v>13</v>
      </c>
      <c r="K455" s="4" t="s">
        <v>16</v>
      </c>
    </row>
    <row r="456" spans="1:11" x14ac:dyDescent="0.35">
      <c r="A456" s="2" t="s">
        <v>670</v>
      </c>
      <c r="B456" s="3">
        <v>45326</v>
      </c>
      <c r="C456" s="2" t="s">
        <v>60</v>
      </c>
      <c r="D456" s="2" t="s">
        <v>19</v>
      </c>
      <c r="E456" s="2" t="s">
        <v>31</v>
      </c>
      <c r="F456" s="2" t="s">
        <v>32</v>
      </c>
      <c r="G456" s="2">
        <v>153</v>
      </c>
      <c r="H456" s="2">
        <v>1400</v>
      </c>
      <c r="I456" s="2">
        <v>214200</v>
      </c>
      <c r="J456" s="2">
        <v>10</v>
      </c>
      <c r="K456" s="2" t="s">
        <v>42</v>
      </c>
    </row>
    <row r="457" spans="1:11" x14ac:dyDescent="0.35">
      <c r="A457" s="4" t="s">
        <v>671</v>
      </c>
      <c r="B457" s="5">
        <v>45573</v>
      </c>
      <c r="C457" s="4" t="s">
        <v>51</v>
      </c>
      <c r="D457" s="4" t="s">
        <v>65</v>
      </c>
      <c r="E457" s="4" t="s">
        <v>14</v>
      </c>
      <c r="F457" s="4" t="s">
        <v>72</v>
      </c>
      <c r="G457" s="4">
        <v>22</v>
      </c>
      <c r="H457" s="4">
        <v>400</v>
      </c>
      <c r="I457" s="4">
        <v>8800</v>
      </c>
      <c r="J457" s="4">
        <v>1</v>
      </c>
      <c r="K457" s="4" t="s">
        <v>37</v>
      </c>
    </row>
    <row r="458" spans="1:11" x14ac:dyDescent="0.35">
      <c r="A458" s="2" t="s">
        <v>672</v>
      </c>
      <c r="B458" s="3">
        <v>45521</v>
      </c>
      <c r="C458" s="2" t="s">
        <v>18</v>
      </c>
      <c r="D458" s="2" t="s">
        <v>93</v>
      </c>
      <c r="E458" s="2" t="s">
        <v>20</v>
      </c>
      <c r="F458" s="2" t="s">
        <v>21</v>
      </c>
      <c r="G458" s="2">
        <v>29</v>
      </c>
      <c r="H458" s="2">
        <v>3500</v>
      </c>
      <c r="I458" s="2">
        <v>101500</v>
      </c>
      <c r="J458" s="2">
        <v>2</v>
      </c>
      <c r="K458" s="2" t="s">
        <v>42</v>
      </c>
    </row>
    <row r="459" spans="1:11" x14ac:dyDescent="0.35">
      <c r="A459" s="4" t="s">
        <v>673</v>
      </c>
      <c r="B459" s="4" t="s">
        <v>674</v>
      </c>
      <c r="C459" s="4" t="s">
        <v>112</v>
      </c>
      <c r="D459" s="4" t="s">
        <v>65</v>
      </c>
      <c r="E459" s="4" t="s">
        <v>20</v>
      </c>
      <c r="F459" s="4" t="s">
        <v>21</v>
      </c>
      <c r="G459" s="4">
        <v>100</v>
      </c>
      <c r="H459" s="4">
        <v>3500</v>
      </c>
      <c r="I459" s="4">
        <v>350000</v>
      </c>
      <c r="J459" s="4">
        <v>1</v>
      </c>
      <c r="K459" s="4" t="s">
        <v>28</v>
      </c>
    </row>
    <row r="460" spans="1:11" x14ac:dyDescent="0.35">
      <c r="A460" s="2" t="s">
        <v>675</v>
      </c>
      <c r="B460" s="3">
        <v>45434</v>
      </c>
      <c r="C460" s="2" t="s">
        <v>118</v>
      </c>
      <c r="D460" s="2" t="s">
        <v>93</v>
      </c>
      <c r="E460" s="2" t="s">
        <v>14</v>
      </c>
      <c r="F460" s="2" t="s">
        <v>72</v>
      </c>
      <c r="G460" s="2">
        <v>176</v>
      </c>
      <c r="H460" s="2">
        <v>400</v>
      </c>
      <c r="I460" s="2">
        <v>70400</v>
      </c>
      <c r="J460" s="2">
        <v>16</v>
      </c>
      <c r="K460" s="2" t="s">
        <v>33</v>
      </c>
    </row>
    <row r="461" spans="1:11" x14ac:dyDescent="0.35">
      <c r="A461" s="4" t="s">
        <v>676</v>
      </c>
      <c r="B461" s="5">
        <v>45450</v>
      </c>
      <c r="C461" s="4" t="s">
        <v>125</v>
      </c>
      <c r="D461" s="4" t="s">
        <v>79</v>
      </c>
      <c r="E461" s="4" t="s">
        <v>20</v>
      </c>
      <c r="F461" s="4" t="s">
        <v>133</v>
      </c>
      <c r="G461" s="4">
        <v>38</v>
      </c>
      <c r="H461" s="4">
        <v>1200</v>
      </c>
      <c r="I461" s="4">
        <v>43953.548871000581</v>
      </c>
      <c r="J461" s="4">
        <v>3</v>
      </c>
      <c r="K461" s="4" t="s">
        <v>28</v>
      </c>
    </row>
    <row r="462" spans="1:11" x14ac:dyDescent="0.35">
      <c r="A462" s="2" t="s">
        <v>677</v>
      </c>
      <c r="B462" s="2" t="s">
        <v>678</v>
      </c>
      <c r="C462" s="2" t="s">
        <v>40</v>
      </c>
      <c r="D462" s="2" t="s">
        <v>41</v>
      </c>
      <c r="E462" s="2" t="s">
        <v>20</v>
      </c>
      <c r="F462" s="2" t="s">
        <v>153</v>
      </c>
      <c r="G462" s="2">
        <v>59</v>
      </c>
      <c r="H462" s="2">
        <v>2800</v>
      </c>
      <c r="I462" s="2">
        <v>165200</v>
      </c>
      <c r="J462" s="2">
        <v>3</v>
      </c>
      <c r="K462" s="2" t="s">
        <v>16</v>
      </c>
    </row>
    <row r="463" spans="1:11" x14ac:dyDescent="0.35">
      <c r="A463" s="4" t="s">
        <v>679</v>
      </c>
      <c r="B463" s="5">
        <v>45517</v>
      </c>
      <c r="C463" s="4" t="s">
        <v>118</v>
      </c>
      <c r="D463" s="4" t="s">
        <v>93</v>
      </c>
      <c r="E463" s="4" t="s">
        <v>20</v>
      </c>
      <c r="F463" s="4" t="s">
        <v>97</v>
      </c>
      <c r="G463" s="4">
        <v>59</v>
      </c>
      <c r="H463" s="4">
        <v>500</v>
      </c>
      <c r="I463" s="4">
        <v>29500</v>
      </c>
      <c r="J463" s="4">
        <v>5</v>
      </c>
      <c r="K463" s="4" t="s">
        <v>62</v>
      </c>
    </row>
    <row r="464" spans="1:11" x14ac:dyDescent="0.35">
      <c r="A464" s="2" t="s">
        <v>680</v>
      </c>
      <c r="B464" s="3">
        <v>45531</v>
      </c>
      <c r="C464" s="2" t="s">
        <v>18</v>
      </c>
      <c r="D464" s="2" t="s">
        <v>93</v>
      </c>
      <c r="E464" s="2" t="s">
        <v>14</v>
      </c>
      <c r="F464" s="2" t="s">
        <v>61</v>
      </c>
      <c r="G464" s="2">
        <v>71</v>
      </c>
      <c r="H464" s="2">
        <v>2200</v>
      </c>
      <c r="I464" s="2">
        <v>156200</v>
      </c>
      <c r="J464" s="2">
        <v>4</v>
      </c>
      <c r="K464" s="2" t="s">
        <v>22</v>
      </c>
    </row>
    <row r="465" spans="1:11" x14ac:dyDescent="0.35">
      <c r="A465" s="4" t="s">
        <v>681</v>
      </c>
      <c r="B465" s="4" t="s">
        <v>682</v>
      </c>
      <c r="C465" s="4" t="s">
        <v>109</v>
      </c>
      <c r="D465" s="4" t="s">
        <v>19</v>
      </c>
      <c r="E465" s="4" t="s">
        <v>20</v>
      </c>
      <c r="F465" s="4" t="s">
        <v>21</v>
      </c>
      <c r="G465" s="4">
        <v>85</v>
      </c>
      <c r="H465" s="4">
        <v>3500</v>
      </c>
      <c r="I465" s="4">
        <v>297500</v>
      </c>
      <c r="J465" s="4">
        <v>0</v>
      </c>
      <c r="K465" s="4" t="s">
        <v>28</v>
      </c>
    </row>
    <row r="466" spans="1:11" x14ac:dyDescent="0.35">
      <c r="A466" s="2" t="s">
        <v>683</v>
      </c>
      <c r="B466" s="3">
        <v>45308</v>
      </c>
      <c r="C466" s="2" t="s">
        <v>118</v>
      </c>
      <c r="D466" s="2" t="s">
        <v>54</v>
      </c>
      <c r="E466" s="2" t="s">
        <v>20</v>
      </c>
      <c r="F466" s="2" t="s">
        <v>133</v>
      </c>
      <c r="G466" s="2">
        <v>131</v>
      </c>
      <c r="H466" s="2">
        <v>1200</v>
      </c>
      <c r="I466" s="2">
        <v>157200</v>
      </c>
      <c r="J466" s="2">
        <v>11</v>
      </c>
      <c r="K466" s="2" t="s">
        <v>37</v>
      </c>
    </row>
    <row r="467" spans="1:11" x14ac:dyDescent="0.35">
      <c r="A467" s="4" t="s">
        <v>684</v>
      </c>
      <c r="B467" s="4" t="s">
        <v>685</v>
      </c>
      <c r="C467" s="4" t="s">
        <v>109</v>
      </c>
      <c r="D467" s="4" t="s">
        <v>49</v>
      </c>
      <c r="E467" s="4" t="s">
        <v>31</v>
      </c>
      <c r="F467" s="4" t="s">
        <v>58</v>
      </c>
      <c r="G467" s="4">
        <v>182</v>
      </c>
      <c r="H467" s="4">
        <v>850</v>
      </c>
      <c r="I467" s="4">
        <v>154700</v>
      </c>
      <c r="J467" s="4">
        <v>13</v>
      </c>
      <c r="K467" s="4" t="s">
        <v>16</v>
      </c>
    </row>
    <row r="468" spans="1:11" x14ac:dyDescent="0.35">
      <c r="A468" s="2" t="s">
        <v>378</v>
      </c>
      <c r="B468" s="2" t="s">
        <v>379</v>
      </c>
      <c r="C468" s="2" t="s">
        <v>380</v>
      </c>
      <c r="D468" s="2" t="s">
        <v>54</v>
      </c>
      <c r="E468" s="2" t="s">
        <v>20</v>
      </c>
      <c r="F468" s="2" t="s">
        <v>97</v>
      </c>
      <c r="G468" s="2">
        <v>14</v>
      </c>
      <c r="H468" s="2">
        <v>500</v>
      </c>
      <c r="I468" s="2">
        <v>7000</v>
      </c>
      <c r="J468" s="2">
        <v>0</v>
      </c>
      <c r="K468" s="2" t="s">
        <v>122</v>
      </c>
    </row>
    <row r="469" spans="1:11" x14ac:dyDescent="0.35">
      <c r="A469" s="4" t="s">
        <v>686</v>
      </c>
      <c r="B469" s="5">
        <v>45329</v>
      </c>
      <c r="C469" s="4" t="s">
        <v>74</v>
      </c>
      <c r="D469" s="4" t="s">
        <v>19</v>
      </c>
      <c r="E469" s="4" t="s">
        <v>20</v>
      </c>
      <c r="F469" s="4" t="s">
        <v>52</v>
      </c>
      <c r="G469" s="4">
        <v>44</v>
      </c>
      <c r="H469" s="4">
        <v>450</v>
      </c>
      <c r="I469" s="4">
        <v>19800</v>
      </c>
      <c r="J469" s="4">
        <v>0</v>
      </c>
      <c r="K469" s="4" t="s">
        <v>42</v>
      </c>
    </row>
    <row r="470" spans="1:11" x14ac:dyDescent="0.35">
      <c r="A470" s="2" t="s">
        <v>687</v>
      </c>
      <c r="B470" s="3">
        <v>45380</v>
      </c>
      <c r="C470" s="2" t="s">
        <v>12</v>
      </c>
      <c r="D470" s="2" t="s">
        <v>315</v>
      </c>
      <c r="E470" s="2" t="s">
        <v>20</v>
      </c>
      <c r="F470" s="2" t="s">
        <v>52</v>
      </c>
      <c r="G470" s="2">
        <v>96</v>
      </c>
      <c r="H470" s="2"/>
      <c r="I470" s="2">
        <v>43200</v>
      </c>
      <c r="J470" s="2">
        <v>9</v>
      </c>
      <c r="K470" s="2" t="s">
        <v>37</v>
      </c>
    </row>
    <row r="471" spans="1:11" x14ac:dyDescent="0.35">
      <c r="A471" s="4" t="s">
        <v>688</v>
      </c>
      <c r="B471" s="5">
        <v>45595</v>
      </c>
      <c r="C471" s="4" t="s">
        <v>109</v>
      </c>
      <c r="D471" s="4" t="s">
        <v>65</v>
      </c>
      <c r="E471" s="4" t="s">
        <v>20</v>
      </c>
      <c r="F471" s="4" t="s">
        <v>52</v>
      </c>
      <c r="G471" s="4">
        <v>83</v>
      </c>
      <c r="H471" s="4">
        <v>450</v>
      </c>
      <c r="I471" s="4">
        <v>37350</v>
      </c>
      <c r="J471" s="4">
        <v>0</v>
      </c>
      <c r="K471" s="4" t="s">
        <v>33</v>
      </c>
    </row>
    <row r="472" spans="1:11" x14ac:dyDescent="0.35">
      <c r="A472" s="2" t="s">
        <v>689</v>
      </c>
      <c r="B472" s="3">
        <v>45457</v>
      </c>
      <c r="C472" s="2" t="s">
        <v>109</v>
      </c>
      <c r="D472" s="2" t="s">
        <v>93</v>
      </c>
      <c r="E472" s="2" t="s">
        <v>31</v>
      </c>
      <c r="F472" s="2" t="s">
        <v>58</v>
      </c>
      <c r="G472" s="2">
        <v>110</v>
      </c>
      <c r="H472" s="2">
        <v>850</v>
      </c>
      <c r="I472" s="2">
        <v>93500</v>
      </c>
      <c r="J472" s="2">
        <v>7</v>
      </c>
      <c r="K472" s="2" t="s">
        <v>33</v>
      </c>
    </row>
    <row r="473" spans="1:11" x14ac:dyDescent="0.35">
      <c r="A473" s="4" t="s">
        <v>690</v>
      </c>
      <c r="B473" s="5">
        <v>45436</v>
      </c>
      <c r="C473" s="4" t="s">
        <v>118</v>
      </c>
      <c r="D473" s="4" t="s">
        <v>79</v>
      </c>
      <c r="E473" s="4" t="s">
        <v>31</v>
      </c>
      <c r="F473" s="4" t="s">
        <v>81</v>
      </c>
      <c r="G473" s="4">
        <v>56</v>
      </c>
      <c r="H473" s="4">
        <v>650</v>
      </c>
      <c r="I473" s="4">
        <v>36400</v>
      </c>
      <c r="J473" s="4">
        <v>3</v>
      </c>
      <c r="K473" s="4" t="s">
        <v>42</v>
      </c>
    </row>
    <row r="474" spans="1:11" x14ac:dyDescent="0.35">
      <c r="A474" s="2" t="s">
        <v>691</v>
      </c>
      <c r="B474" s="2" t="s">
        <v>692</v>
      </c>
      <c r="C474" s="2" t="s">
        <v>83</v>
      </c>
      <c r="D474" s="2" t="s">
        <v>19</v>
      </c>
      <c r="E474" s="2" t="s">
        <v>20</v>
      </c>
      <c r="F474" s="2" t="s">
        <v>133</v>
      </c>
      <c r="G474" s="2">
        <v>121</v>
      </c>
      <c r="H474" s="2">
        <v>1200</v>
      </c>
      <c r="I474" s="2">
        <v>145200</v>
      </c>
      <c r="J474" s="2">
        <v>2</v>
      </c>
      <c r="K474" s="2" t="s">
        <v>122</v>
      </c>
    </row>
    <row r="475" spans="1:11" x14ac:dyDescent="0.35">
      <c r="A475" s="4" t="s">
        <v>693</v>
      </c>
      <c r="B475" s="5">
        <v>45614</v>
      </c>
      <c r="C475" s="4" t="s">
        <v>74</v>
      </c>
      <c r="D475" s="4" t="s">
        <v>26</v>
      </c>
      <c r="E475" s="4" t="s">
        <v>14</v>
      </c>
      <c r="F475" s="4" t="s">
        <v>61</v>
      </c>
      <c r="G475" s="4">
        <v>165</v>
      </c>
      <c r="H475" s="4">
        <v>2200</v>
      </c>
      <c r="I475" s="4">
        <v>363000</v>
      </c>
      <c r="J475" s="4">
        <v>0</v>
      </c>
      <c r="K475" s="4" t="s">
        <v>37</v>
      </c>
    </row>
    <row r="476" spans="1:11" x14ac:dyDescent="0.35">
      <c r="A476" s="2" t="s">
        <v>694</v>
      </c>
      <c r="B476" s="3">
        <v>45354</v>
      </c>
      <c r="C476" s="2" t="s">
        <v>380</v>
      </c>
      <c r="D476" s="2" t="s">
        <v>49</v>
      </c>
      <c r="E476" s="2" t="s">
        <v>20</v>
      </c>
      <c r="F476" s="2" t="s">
        <v>36</v>
      </c>
      <c r="G476" s="2">
        <v>139</v>
      </c>
      <c r="H476" s="2">
        <v>900</v>
      </c>
      <c r="I476" s="2">
        <v>155471.42749112661</v>
      </c>
      <c r="J476" s="2">
        <v>8</v>
      </c>
      <c r="K476" s="2" t="s">
        <v>16</v>
      </c>
    </row>
    <row r="477" spans="1:11" x14ac:dyDescent="0.35">
      <c r="A477" s="4" t="s">
        <v>695</v>
      </c>
      <c r="B477" s="4" t="s">
        <v>696</v>
      </c>
      <c r="C477" s="4" t="s">
        <v>25</v>
      </c>
      <c r="D477" s="4" t="s">
        <v>54</v>
      </c>
      <c r="E477" s="4" t="s">
        <v>31</v>
      </c>
      <c r="F477" s="4" t="s">
        <v>89</v>
      </c>
      <c r="G477" s="4">
        <v>159</v>
      </c>
      <c r="H477" s="4">
        <v>900</v>
      </c>
      <c r="I477" s="4">
        <v>143100</v>
      </c>
      <c r="J477" s="4">
        <v>10</v>
      </c>
      <c r="K477" s="4" t="s">
        <v>85</v>
      </c>
    </row>
    <row r="478" spans="1:11" x14ac:dyDescent="0.35">
      <c r="A478" s="2" t="s">
        <v>697</v>
      </c>
      <c r="B478" s="3">
        <v>45591</v>
      </c>
      <c r="C478" s="2" t="s">
        <v>106</v>
      </c>
      <c r="D478" s="2" t="s">
        <v>79</v>
      </c>
      <c r="E478" s="2" t="s">
        <v>20</v>
      </c>
      <c r="F478" s="2" t="s">
        <v>36</v>
      </c>
      <c r="G478" s="2">
        <v>192</v>
      </c>
      <c r="H478" s="2">
        <v>900</v>
      </c>
      <c r="I478" s="2">
        <v>172800</v>
      </c>
      <c r="J478" s="2">
        <v>0</v>
      </c>
      <c r="K478" s="2" t="s">
        <v>28</v>
      </c>
    </row>
    <row r="479" spans="1:11" x14ac:dyDescent="0.35">
      <c r="A479" s="4" t="s">
        <v>698</v>
      </c>
      <c r="B479" s="5">
        <v>45483</v>
      </c>
      <c r="C479" s="4" t="s">
        <v>83</v>
      </c>
      <c r="D479" s="4" t="s">
        <v>41</v>
      </c>
      <c r="E479" s="4" t="s">
        <v>14</v>
      </c>
      <c r="F479" s="4" t="s">
        <v>99</v>
      </c>
      <c r="G479" s="4">
        <v>180</v>
      </c>
      <c r="H479" s="4">
        <v>1500</v>
      </c>
      <c r="I479" s="4">
        <v>270000</v>
      </c>
      <c r="J479" s="4">
        <v>8</v>
      </c>
      <c r="K479" s="4" t="s">
        <v>42</v>
      </c>
    </row>
    <row r="480" spans="1:11" x14ac:dyDescent="0.35">
      <c r="A480" s="2" t="s">
        <v>699</v>
      </c>
      <c r="B480" s="2" t="s">
        <v>700</v>
      </c>
      <c r="C480" s="2" t="s">
        <v>44</v>
      </c>
      <c r="D480" s="2" t="s">
        <v>49</v>
      </c>
      <c r="E480" s="2" t="s">
        <v>14</v>
      </c>
      <c r="F480" s="2" t="s">
        <v>61</v>
      </c>
      <c r="G480" s="2">
        <v>-104</v>
      </c>
      <c r="H480" s="2">
        <v>2200</v>
      </c>
      <c r="I480" s="2">
        <v>228800</v>
      </c>
      <c r="J480" s="2">
        <v>7</v>
      </c>
      <c r="K480" s="2" t="s">
        <v>16</v>
      </c>
    </row>
    <row r="481" spans="1:11" x14ac:dyDescent="0.35">
      <c r="A481" s="4" t="s">
        <v>701</v>
      </c>
      <c r="B481" s="5">
        <v>45542</v>
      </c>
      <c r="C481" s="4" t="s">
        <v>60</v>
      </c>
      <c r="D481" s="4" t="s">
        <v>79</v>
      </c>
      <c r="E481" s="4" t="s">
        <v>20</v>
      </c>
      <c r="F481" s="4" t="s">
        <v>52</v>
      </c>
      <c r="G481" s="4">
        <v>130</v>
      </c>
      <c r="H481" s="4"/>
      <c r="I481" s="4">
        <v>58500</v>
      </c>
      <c r="J481" s="4">
        <v>3</v>
      </c>
      <c r="K481" s="4" t="s">
        <v>42</v>
      </c>
    </row>
    <row r="482" spans="1:11" x14ac:dyDescent="0.35">
      <c r="A482" s="2" t="s">
        <v>702</v>
      </c>
      <c r="B482" s="3">
        <v>45433</v>
      </c>
      <c r="C482" s="2" t="s">
        <v>118</v>
      </c>
      <c r="D482" s="2" t="s">
        <v>41</v>
      </c>
      <c r="E482" s="2" t="s">
        <v>20</v>
      </c>
      <c r="F482" s="2" t="s">
        <v>97</v>
      </c>
      <c r="G482" s="2">
        <v>153</v>
      </c>
      <c r="H482" s="2">
        <v>500</v>
      </c>
      <c r="I482" s="2">
        <v>76500</v>
      </c>
      <c r="J482" s="2">
        <v>3</v>
      </c>
      <c r="K482" s="2" t="s">
        <v>22</v>
      </c>
    </row>
    <row r="483" spans="1:11" x14ac:dyDescent="0.35">
      <c r="A483" s="4" t="s">
        <v>703</v>
      </c>
      <c r="B483" s="5">
        <v>45539</v>
      </c>
      <c r="C483" s="4" t="s">
        <v>12</v>
      </c>
      <c r="D483" s="4" t="s">
        <v>65</v>
      </c>
      <c r="E483" s="4" t="s">
        <v>20</v>
      </c>
      <c r="F483" s="4" t="s">
        <v>52</v>
      </c>
      <c r="G483" s="4">
        <v>81</v>
      </c>
      <c r="H483" s="4" t="s">
        <v>127</v>
      </c>
      <c r="I483" s="4">
        <v>36450</v>
      </c>
      <c r="J483" s="4">
        <v>0</v>
      </c>
      <c r="K483" s="4" t="s">
        <v>22</v>
      </c>
    </row>
    <row r="484" spans="1:11" x14ac:dyDescent="0.35">
      <c r="A484" s="2" t="s">
        <v>704</v>
      </c>
      <c r="B484" s="2" t="s">
        <v>705</v>
      </c>
      <c r="C484" s="2" t="s">
        <v>366</v>
      </c>
      <c r="D484" s="2" t="s">
        <v>49</v>
      </c>
      <c r="E484" s="2" t="s">
        <v>31</v>
      </c>
      <c r="F484" s="2" t="s">
        <v>81</v>
      </c>
      <c r="G484" s="2">
        <v>87</v>
      </c>
      <c r="H484" s="2">
        <v>650</v>
      </c>
      <c r="I484" s="2">
        <v>56550</v>
      </c>
      <c r="J484" s="2">
        <v>5</v>
      </c>
      <c r="K484" s="2" t="s">
        <v>16</v>
      </c>
    </row>
    <row r="485" spans="1:11" x14ac:dyDescent="0.35">
      <c r="A485" s="4" t="s">
        <v>706</v>
      </c>
      <c r="B485" s="4" t="s">
        <v>707</v>
      </c>
      <c r="C485" s="4" t="s">
        <v>118</v>
      </c>
      <c r="D485" s="4" t="s">
        <v>49</v>
      </c>
      <c r="E485" s="4" t="s">
        <v>31</v>
      </c>
      <c r="F485" s="4" t="s">
        <v>89</v>
      </c>
      <c r="G485" s="4">
        <v>46</v>
      </c>
      <c r="H485" s="4">
        <v>900</v>
      </c>
      <c r="I485" s="4">
        <v>41400</v>
      </c>
      <c r="J485" s="4">
        <v>0</v>
      </c>
      <c r="K485" s="4" t="s">
        <v>46</v>
      </c>
    </row>
    <row r="486" spans="1:11" x14ac:dyDescent="0.35">
      <c r="A486" s="2" t="s">
        <v>708</v>
      </c>
      <c r="B486" s="3">
        <v>45391</v>
      </c>
      <c r="C486" s="2" t="s">
        <v>30</v>
      </c>
      <c r="D486" s="2" t="s">
        <v>65</v>
      </c>
      <c r="E486" s="2" t="s">
        <v>31</v>
      </c>
      <c r="F486" s="2" t="s">
        <v>81</v>
      </c>
      <c r="G486" s="2">
        <v>193</v>
      </c>
      <c r="H486" s="2">
        <v>650</v>
      </c>
      <c r="I486" s="2">
        <v>125450</v>
      </c>
      <c r="J486" s="2">
        <v>4</v>
      </c>
      <c r="K486" s="2" t="s">
        <v>37</v>
      </c>
    </row>
    <row r="487" spans="1:11" x14ac:dyDescent="0.35">
      <c r="A487" s="4" t="s">
        <v>709</v>
      </c>
      <c r="B487" s="5">
        <v>45482</v>
      </c>
      <c r="C487" s="4" t="s">
        <v>106</v>
      </c>
      <c r="D487" s="4" t="s">
        <v>49</v>
      </c>
      <c r="E487" s="4" t="s">
        <v>20</v>
      </c>
      <c r="F487" s="4" t="s">
        <v>133</v>
      </c>
      <c r="G487" s="4">
        <v>149</v>
      </c>
      <c r="H487" s="4">
        <v>1200</v>
      </c>
      <c r="I487" s="4">
        <v>178800</v>
      </c>
      <c r="J487" s="4">
        <v>5</v>
      </c>
      <c r="K487" s="4" t="s">
        <v>28</v>
      </c>
    </row>
    <row r="488" spans="1:11" x14ac:dyDescent="0.35">
      <c r="A488" s="2" t="s">
        <v>710</v>
      </c>
      <c r="B488" s="3">
        <v>45484</v>
      </c>
      <c r="C488" s="2" t="s">
        <v>30</v>
      </c>
      <c r="D488" s="2" t="s">
        <v>79</v>
      </c>
      <c r="E488" s="2" t="s">
        <v>20</v>
      </c>
      <c r="F488" s="2" t="s">
        <v>97</v>
      </c>
      <c r="G488" s="2">
        <v>144</v>
      </c>
      <c r="H488" s="2">
        <v>500</v>
      </c>
      <c r="I488" s="2">
        <v>72000</v>
      </c>
      <c r="J488" s="2">
        <v>11</v>
      </c>
      <c r="K488" s="2" t="s">
        <v>42</v>
      </c>
    </row>
    <row r="489" spans="1:11" x14ac:dyDescent="0.35">
      <c r="A489" s="4" t="s">
        <v>711</v>
      </c>
      <c r="B489" s="4" t="s">
        <v>712</v>
      </c>
      <c r="C489" s="4" t="s">
        <v>18</v>
      </c>
      <c r="D489" s="4" t="s">
        <v>79</v>
      </c>
      <c r="E489" s="4" t="s">
        <v>14</v>
      </c>
      <c r="F489" s="4" t="s">
        <v>171</v>
      </c>
      <c r="G489" s="4">
        <v>53</v>
      </c>
      <c r="H489" s="4">
        <v>700</v>
      </c>
      <c r="I489" s="4">
        <v>37100</v>
      </c>
      <c r="J489" s="4">
        <v>0</v>
      </c>
      <c r="K489" s="4" t="s">
        <v>62</v>
      </c>
    </row>
    <row r="490" spans="1:11" x14ac:dyDescent="0.35">
      <c r="A490" s="2" t="s">
        <v>713</v>
      </c>
      <c r="B490" s="3">
        <v>45344</v>
      </c>
      <c r="C490" s="2" t="s">
        <v>96</v>
      </c>
      <c r="D490" s="2" t="s">
        <v>93</v>
      </c>
      <c r="E490" s="2" t="s">
        <v>14</v>
      </c>
      <c r="F490" s="2" t="s">
        <v>99</v>
      </c>
      <c r="G490" s="2">
        <v>41</v>
      </c>
      <c r="H490" s="2">
        <v>1500</v>
      </c>
      <c r="I490" s="2">
        <v>61500</v>
      </c>
      <c r="J490" s="2">
        <v>0</v>
      </c>
      <c r="K490" s="2" t="s">
        <v>42</v>
      </c>
    </row>
    <row r="491" spans="1:11" x14ac:dyDescent="0.35">
      <c r="A491" s="4" t="s">
        <v>714</v>
      </c>
      <c r="B491" s="4" t="s">
        <v>715</v>
      </c>
      <c r="C491" s="4" t="s">
        <v>156</v>
      </c>
      <c r="D491" s="4" t="s">
        <v>93</v>
      </c>
      <c r="E491" s="4" t="s">
        <v>20</v>
      </c>
      <c r="F491" s="4" t="s">
        <v>21</v>
      </c>
      <c r="G491" s="4">
        <v>151</v>
      </c>
      <c r="H491" s="4">
        <v>3500</v>
      </c>
      <c r="I491" s="4">
        <v>528500</v>
      </c>
      <c r="J491" s="4">
        <v>1</v>
      </c>
      <c r="K491" s="4" t="s">
        <v>28</v>
      </c>
    </row>
    <row r="492" spans="1:11" x14ac:dyDescent="0.35">
      <c r="A492" s="2" t="s">
        <v>716</v>
      </c>
      <c r="B492" s="2" t="s">
        <v>717</v>
      </c>
      <c r="C492" s="2" t="s">
        <v>92</v>
      </c>
      <c r="D492" s="2" t="s">
        <v>79</v>
      </c>
      <c r="E492" s="2" t="s">
        <v>20</v>
      </c>
      <c r="F492" s="2" t="s">
        <v>153</v>
      </c>
      <c r="G492" s="2">
        <v>43</v>
      </c>
      <c r="H492" s="2">
        <v>2800</v>
      </c>
      <c r="I492" s="2"/>
      <c r="J492" s="2">
        <v>3</v>
      </c>
      <c r="K492" s="2" t="s">
        <v>33</v>
      </c>
    </row>
    <row r="493" spans="1:11" x14ac:dyDescent="0.35">
      <c r="A493" s="4" t="s">
        <v>718</v>
      </c>
      <c r="B493" s="4" t="s">
        <v>719</v>
      </c>
      <c r="C493" s="4" t="s">
        <v>83</v>
      </c>
      <c r="D493" s="4" t="s">
        <v>13</v>
      </c>
      <c r="E493" s="4" t="s">
        <v>20</v>
      </c>
      <c r="F493" s="4" t="s">
        <v>153</v>
      </c>
      <c r="G493" s="4">
        <v>22</v>
      </c>
      <c r="H493" s="4">
        <v>2800</v>
      </c>
      <c r="I493" s="4">
        <v>48177.205910997058</v>
      </c>
      <c r="J493" s="4">
        <v>0</v>
      </c>
      <c r="K493" s="4"/>
    </row>
    <row r="494" spans="1:11" x14ac:dyDescent="0.35">
      <c r="A494" s="2" t="s">
        <v>720</v>
      </c>
      <c r="B494" s="3">
        <v>45527</v>
      </c>
      <c r="C494" s="2" t="s">
        <v>60</v>
      </c>
      <c r="D494" s="2" t="s">
        <v>13</v>
      </c>
      <c r="E494" s="2" t="s">
        <v>31</v>
      </c>
      <c r="F494" s="2" t="s">
        <v>32</v>
      </c>
      <c r="G494" s="2">
        <v>107</v>
      </c>
      <c r="H494" s="2">
        <v>1400</v>
      </c>
      <c r="I494" s="2">
        <v>149800</v>
      </c>
      <c r="J494" s="2">
        <v>0</v>
      </c>
      <c r="K494" s="2" t="s">
        <v>85</v>
      </c>
    </row>
    <row r="495" spans="1:11" x14ac:dyDescent="0.35">
      <c r="A495" s="4" t="s">
        <v>721</v>
      </c>
      <c r="B495" s="5">
        <v>45425</v>
      </c>
      <c r="C495" s="4" t="s">
        <v>25</v>
      </c>
      <c r="D495" s="4" t="s">
        <v>19</v>
      </c>
      <c r="E495" s="4" t="s">
        <v>31</v>
      </c>
      <c r="F495" s="4" t="s">
        <v>58</v>
      </c>
      <c r="G495" s="4">
        <v>15</v>
      </c>
      <c r="H495" s="4">
        <v>850</v>
      </c>
      <c r="I495" s="4">
        <v>12750</v>
      </c>
      <c r="J495" s="4">
        <v>0</v>
      </c>
      <c r="K495" s="4" t="s">
        <v>37</v>
      </c>
    </row>
    <row r="496" spans="1:11" x14ac:dyDescent="0.35">
      <c r="A496" s="2" t="s">
        <v>722</v>
      </c>
      <c r="B496" s="3">
        <v>45310</v>
      </c>
      <c r="C496" s="2" t="s">
        <v>106</v>
      </c>
      <c r="D496" s="2" t="s">
        <v>13</v>
      </c>
      <c r="E496" s="2" t="s">
        <v>14</v>
      </c>
      <c r="F496" s="2" t="s">
        <v>61</v>
      </c>
      <c r="G496" s="2">
        <v>111</v>
      </c>
      <c r="H496" s="2">
        <v>2200</v>
      </c>
      <c r="I496" s="2">
        <v>244200</v>
      </c>
      <c r="J496" s="2">
        <v>1</v>
      </c>
      <c r="K496" s="2" t="s">
        <v>85</v>
      </c>
    </row>
  </sheetData>
  <autoFilter ref="A1:K49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heetViews>
  <sheetFormatPr defaultRowHeight="14.5" x14ac:dyDescent="0.35"/>
  <cols>
    <col min="1" max="1" width="20" customWidth="1"/>
    <col min="2" max="2" width="12" customWidth="1"/>
    <col min="3" max="3" width="40" customWidth="1"/>
    <col min="4" max="4" width="45" customWidth="1"/>
  </cols>
  <sheetData>
    <row r="1" spans="1:4" ht="16.5" x14ac:dyDescent="0.35">
      <c r="A1" s="6" t="s">
        <v>723</v>
      </c>
    </row>
    <row r="3" spans="1:4" x14ac:dyDescent="0.35">
      <c r="A3" s="7" t="s">
        <v>724</v>
      </c>
      <c r="B3" s="7" t="s">
        <v>725</v>
      </c>
      <c r="C3" s="7" t="s">
        <v>726</v>
      </c>
      <c r="D3" s="7" t="s">
        <v>727</v>
      </c>
    </row>
    <row r="4" spans="1:4" x14ac:dyDescent="0.35">
      <c r="A4" s="8" t="s">
        <v>0</v>
      </c>
      <c r="B4" s="8" t="s">
        <v>728</v>
      </c>
      <c r="C4" s="8" t="s">
        <v>729</v>
      </c>
      <c r="D4" s="8" t="s">
        <v>730</v>
      </c>
    </row>
    <row r="5" spans="1:4" x14ac:dyDescent="0.35">
      <c r="A5" s="4" t="s">
        <v>1</v>
      </c>
      <c r="B5" s="4" t="s">
        <v>1</v>
      </c>
      <c r="C5" s="4" t="s">
        <v>731</v>
      </c>
      <c r="D5" s="4" t="s">
        <v>732</v>
      </c>
    </row>
    <row r="6" spans="1:4" x14ac:dyDescent="0.35">
      <c r="A6" s="8" t="s">
        <v>2</v>
      </c>
      <c r="B6" s="8" t="s">
        <v>728</v>
      </c>
      <c r="C6" s="8" t="s">
        <v>733</v>
      </c>
      <c r="D6" s="8" t="s">
        <v>734</v>
      </c>
    </row>
    <row r="7" spans="1:4" x14ac:dyDescent="0.35">
      <c r="A7" s="4" t="s">
        <v>3</v>
      </c>
      <c r="B7" s="4" t="s">
        <v>728</v>
      </c>
      <c r="C7" s="4" t="s">
        <v>735</v>
      </c>
      <c r="D7" s="4" t="s">
        <v>736</v>
      </c>
    </row>
    <row r="8" spans="1:4" x14ac:dyDescent="0.35">
      <c r="A8" s="8" t="s">
        <v>4</v>
      </c>
      <c r="B8" s="8" t="s">
        <v>728</v>
      </c>
      <c r="C8" s="8" t="s">
        <v>737</v>
      </c>
      <c r="D8" s="8" t="s">
        <v>738</v>
      </c>
    </row>
    <row r="9" spans="1:4" x14ac:dyDescent="0.35">
      <c r="A9" s="4" t="s">
        <v>5</v>
      </c>
      <c r="B9" s="4" t="s">
        <v>728</v>
      </c>
      <c r="C9" s="4" t="s">
        <v>739</v>
      </c>
      <c r="D9" s="4" t="s">
        <v>740</v>
      </c>
    </row>
    <row r="10" spans="1:4" x14ac:dyDescent="0.35">
      <c r="A10" s="8" t="s">
        <v>6</v>
      </c>
      <c r="B10" s="8" t="s">
        <v>741</v>
      </c>
      <c r="C10" s="8" t="s">
        <v>742</v>
      </c>
      <c r="D10" s="8" t="s">
        <v>743</v>
      </c>
    </row>
    <row r="11" spans="1:4" x14ac:dyDescent="0.35">
      <c r="A11" s="4" t="s">
        <v>7</v>
      </c>
      <c r="B11" s="4" t="s">
        <v>744</v>
      </c>
      <c r="C11" s="4" t="s">
        <v>745</v>
      </c>
      <c r="D11" s="4" t="s">
        <v>746</v>
      </c>
    </row>
    <row r="12" spans="1:4" x14ac:dyDescent="0.35">
      <c r="A12" s="8" t="s">
        <v>8</v>
      </c>
      <c r="B12" s="8" t="s">
        <v>744</v>
      </c>
      <c r="C12" s="8" t="s">
        <v>747</v>
      </c>
      <c r="D12" s="8" t="s">
        <v>748</v>
      </c>
    </row>
    <row r="13" spans="1:4" x14ac:dyDescent="0.35">
      <c r="A13" s="4" t="s">
        <v>9</v>
      </c>
      <c r="B13" s="4" t="s">
        <v>741</v>
      </c>
      <c r="C13" s="4" t="s">
        <v>749</v>
      </c>
      <c r="D13" s="4" t="s">
        <v>750</v>
      </c>
    </row>
    <row r="14" spans="1:4" x14ac:dyDescent="0.35">
      <c r="A14" s="8" t="s">
        <v>10</v>
      </c>
      <c r="B14" s="8" t="s">
        <v>728</v>
      </c>
      <c r="C14" s="8" t="s">
        <v>751</v>
      </c>
      <c r="D14" s="8" t="s">
        <v>752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1EBB8-2B0F-4AF6-8D12-F6EE9DD9E86B}">
  <dimension ref="A2:I32"/>
  <sheetViews>
    <sheetView topLeftCell="A16" workbookViewId="0">
      <selection activeCell="G18" sqref="G18"/>
    </sheetView>
  </sheetViews>
  <sheetFormatPr defaultRowHeight="14.5" x14ac:dyDescent="0.35"/>
  <cols>
    <col min="1" max="2" width="17.90625" bestFit="1" customWidth="1"/>
    <col min="3" max="3" width="21.08984375" bestFit="1" customWidth="1"/>
    <col min="4" max="4" width="26.6328125" bestFit="1" customWidth="1"/>
    <col min="5" max="6" width="17.90625" bestFit="1" customWidth="1"/>
    <col min="7" max="7" width="17.54296875" bestFit="1" customWidth="1"/>
    <col min="9" max="9" width="18.26953125" bestFit="1" customWidth="1"/>
  </cols>
  <sheetData>
    <row r="2" spans="1:9" x14ac:dyDescent="0.35">
      <c r="A2" t="s">
        <v>836</v>
      </c>
      <c r="C2" t="s">
        <v>833</v>
      </c>
      <c r="E2" t="s">
        <v>837</v>
      </c>
      <c r="G2" t="s">
        <v>838</v>
      </c>
      <c r="I2" t="s">
        <v>848</v>
      </c>
    </row>
    <row r="3" spans="1:9" x14ac:dyDescent="0.35">
      <c r="A3" t="s">
        <v>831</v>
      </c>
      <c r="C3" t="s">
        <v>832</v>
      </c>
      <c r="E3" t="s">
        <v>834</v>
      </c>
      <c r="G3" t="s">
        <v>835</v>
      </c>
      <c r="I3" t="s">
        <v>849</v>
      </c>
    </row>
    <row r="4" spans="1:9" x14ac:dyDescent="0.35">
      <c r="A4" s="17">
        <v>58314400</v>
      </c>
      <c r="C4" s="10">
        <v>121488.33333333333</v>
      </c>
      <c r="E4" s="17">
        <v>700000</v>
      </c>
      <c r="G4" s="17">
        <v>0</v>
      </c>
      <c r="I4">
        <v>47345</v>
      </c>
    </row>
    <row r="7" spans="1:9" ht="15.5" x14ac:dyDescent="0.35">
      <c r="A7" s="28" t="s">
        <v>839</v>
      </c>
      <c r="B7" s="28"/>
      <c r="D7" s="28" t="s">
        <v>840</v>
      </c>
      <c r="E7" s="28"/>
    </row>
    <row r="8" spans="1:9" x14ac:dyDescent="0.35">
      <c r="A8" s="13" t="s">
        <v>817</v>
      </c>
      <c r="B8" s="14" t="s">
        <v>831</v>
      </c>
      <c r="D8" s="13" t="s">
        <v>817</v>
      </c>
      <c r="E8" s="14" t="s">
        <v>831</v>
      </c>
    </row>
    <row r="9" spans="1:9" x14ac:dyDescent="0.35">
      <c r="A9" s="15" t="s">
        <v>31</v>
      </c>
      <c r="B9" s="16">
        <v>15994850</v>
      </c>
      <c r="D9" s="15" t="s">
        <v>74</v>
      </c>
      <c r="E9" s="16">
        <v>10411300</v>
      </c>
    </row>
    <row r="10" spans="1:9" x14ac:dyDescent="0.35">
      <c r="A10" s="15" t="s">
        <v>14</v>
      </c>
      <c r="B10" s="16">
        <v>15582500</v>
      </c>
      <c r="D10" s="15" t="s">
        <v>51</v>
      </c>
      <c r="E10" s="16">
        <v>9169650</v>
      </c>
    </row>
    <row r="11" spans="1:9" x14ac:dyDescent="0.35">
      <c r="A11" s="15" t="s">
        <v>20</v>
      </c>
      <c r="B11" s="16">
        <v>25367150</v>
      </c>
      <c r="D11" s="15" t="s">
        <v>25</v>
      </c>
      <c r="E11" s="16">
        <v>7342550</v>
      </c>
    </row>
    <row r="12" spans="1:9" x14ac:dyDescent="0.35">
      <c r="A12" s="15" t="s">
        <v>753</v>
      </c>
      <c r="B12" s="16">
        <v>1369900</v>
      </c>
      <c r="D12" s="15" t="s">
        <v>96</v>
      </c>
      <c r="E12" s="16">
        <v>7407500</v>
      </c>
    </row>
    <row r="13" spans="1:9" x14ac:dyDescent="0.35">
      <c r="A13" s="15" t="s">
        <v>818</v>
      </c>
      <c r="B13" s="16">
        <v>58314400</v>
      </c>
      <c r="D13" s="15" t="s">
        <v>44</v>
      </c>
      <c r="E13" s="16">
        <v>11106250</v>
      </c>
    </row>
    <row r="14" spans="1:9" x14ac:dyDescent="0.35">
      <c r="D14" s="15" t="s">
        <v>18</v>
      </c>
      <c r="E14" s="16">
        <v>12877150</v>
      </c>
    </row>
    <row r="15" spans="1:9" x14ac:dyDescent="0.35">
      <c r="D15" s="15" t="s">
        <v>818</v>
      </c>
      <c r="E15" s="16">
        <v>58314400</v>
      </c>
    </row>
    <row r="16" spans="1:9" x14ac:dyDescent="0.35">
      <c r="D16" s="18"/>
      <c r="E16" s="17"/>
    </row>
    <row r="18" spans="1:6" ht="15.5" x14ac:dyDescent="0.35">
      <c r="A18" s="28" t="s">
        <v>841</v>
      </c>
      <c r="B18" s="28"/>
      <c r="D18" s="28" t="s">
        <v>850</v>
      </c>
      <c r="E18" s="28"/>
      <c r="F18" s="28"/>
    </row>
    <row r="19" spans="1:6" x14ac:dyDescent="0.35">
      <c r="A19" s="13" t="s">
        <v>817</v>
      </c>
      <c r="B19" s="14" t="s">
        <v>831</v>
      </c>
      <c r="D19" s="14" t="s">
        <v>755</v>
      </c>
      <c r="E19" s="14">
        <v>2298</v>
      </c>
      <c r="F19" s="23">
        <v>8043000</v>
      </c>
    </row>
    <row r="20" spans="1:6" x14ac:dyDescent="0.35">
      <c r="A20" s="15" t="s">
        <v>819</v>
      </c>
      <c r="B20" s="16">
        <v>3454250</v>
      </c>
      <c r="D20" s="14" t="s">
        <v>153</v>
      </c>
      <c r="E20" s="14">
        <v>2785</v>
      </c>
      <c r="F20" s="23">
        <v>7798000</v>
      </c>
    </row>
    <row r="21" spans="1:6" x14ac:dyDescent="0.35">
      <c r="A21" s="15" t="s">
        <v>820</v>
      </c>
      <c r="B21" s="16">
        <v>4166450</v>
      </c>
      <c r="D21" s="14" t="s">
        <v>159</v>
      </c>
      <c r="E21" s="14">
        <v>2605</v>
      </c>
      <c r="F21" s="23">
        <v>4689000</v>
      </c>
    </row>
    <row r="22" spans="1:6" x14ac:dyDescent="0.35">
      <c r="A22" s="15" t="s">
        <v>821</v>
      </c>
      <c r="B22" s="16">
        <v>4180250</v>
      </c>
      <c r="D22" s="14" t="s">
        <v>133</v>
      </c>
      <c r="E22" s="14">
        <v>3462</v>
      </c>
      <c r="F22" s="23">
        <v>4154400</v>
      </c>
    </row>
    <row r="23" spans="1:6" x14ac:dyDescent="0.35">
      <c r="A23" s="15" t="s">
        <v>822</v>
      </c>
      <c r="B23" s="16">
        <v>5350600</v>
      </c>
      <c r="D23" s="14" t="s">
        <v>61</v>
      </c>
      <c r="E23" s="14">
        <v>1802</v>
      </c>
      <c r="F23" s="23">
        <v>3682800</v>
      </c>
    </row>
    <row r="24" spans="1:6" ht="15.5" x14ac:dyDescent="0.35">
      <c r="A24" s="15" t="s">
        <v>823</v>
      </c>
      <c r="B24" s="16">
        <v>5732000</v>
      </c>
      <c r="D24" s="28" t="s">
        <v>851</v>
      </c>
      <c r="E24" s="28"/>
      <c r="F24" s="28"/>
    </row>
    <row r="25" spans="1:6" x14ac:dyDescent="0.35">
      <c r="A25" s="15" t="s">
        <v>824</v>
      </c>
      <c r="B25" s="16">
        <v>6571300</v>
      </c>
      <c r="D25" s="14" t="s">
        <v>97</v>
      </c>
      <c r="E25" s="14">
        <v>2628</v>
      </c>
      <c r="F25" s="23">
        <v>1314000</v>
      </c>
    </row>
    <row r="26" spans="1:6" x14ac:dyDescent="0.35">
      <c r="A26" s="15" t="s">
        <v>825</v>
      </c>
      <c r="B26" s="16">
        <v>3458250</v>
      </c>
      <c r="D26" s="14" t="s">
        <v>121</v>
      </c>
      <c r="E26" s="14">
        <v>1374</v>
      </c>
      <c r="F26" s="23">
        <v>274800</v>
      </c>
    </row>
    <row r="27" spans="1:6" x14ac:dyDescent="0.35">
      <c r="A27" s="15" t="s">
        <v>826</v>
      </c>
      <c r="B27" s="16">
        <v>4928600</v>
      </c>
      <c r="D27" s="14" t="s">
        <v>754</v>
      </c>
      <c r="E27" s="14">
        <v>1344</v>
      </c>
      <c r="F27" s="23">
        <v>940800</v>
      </c>
    </row>
    <row r="28" spans="1:6" x14ac:dyDescent="0.35">
      <c r="A28" s="15" t="s">
        <v>827</v>
      </c>
      <c r="B28" s="16">
        <v>5690800</v>
      </c>
      <c r="D28" s="14" t="s">
        <v>81</v>
      </c>
      <c r="E28" s="14">
        <v>2109</v>
      </c>
      <c r="F28" s="23">
        <v>1370850</v>
      </c>
    </row>
    <row r="29" spans="1:6" x14ac:dyDescent="0.35">
      <c r="A29" s="15" t="s">
        <v>828</v>
      </c>
      <c r="B29" s="16">
        <v>6859150</v>
      </c>
      <c r="D29" s="14" t="s">
        <v>72</v>
      </c>
      <c r="E29" s="14">
        <v>3000</v>
      </c>
      <c r="F29" s="23">
        <v>1200000</v>
      </c>
    </row>
    <row r="30" spans="1:6" x14ac:dyDescent="0.35">
      <c r="A30" s="15" t="s">
        <v>829</v>
      </c>
      <c r="B30" s="16">
        <v>4223800</v>
      </c>
    </row>
    <row r="31" spans="1:6" x14ac:dyDescent="0.35">
      <c r="A31" s="15" t="s">
        <v>830</v>
      </c>
      <c r="B31" s="16">
        <v>3698950</v>
      </c>
    </row>
    <row r="32" spans="1:6" x14ac:dyDescent="0.35">
      <c r="A32" s="15" t="s">
        <v>818</v>
      </c>
      <c r="B32" s="16">
        <v>58314400</v>
      </c>
    </row>
  </sheetData>
  <mergeCells count="5">
    <mergeCell ref="A18:B18"/>
    <mergeCell ref="A7:B7"/>
    <mergeCell ref="D7:E7"/>
    <mergeCell ref="D18:F18"/>
    <mergeCell ref="D24:F24"/>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DCB4-69C0-47A9-A347-5E16EECC212D}">
  <dimension ref="A1"/>
  <sheetViews>
    <sheetView workbookViewId="0">
      <selection activeCell="J23" sqref="J23"/>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37D2-E0F5-4B65-B939-4CDD41BA47DA}">
  <dimension ref="F1:U12"/>
  <sheetViews>
    <sheetView zoomScale="78" zoomScaleNormal="78" workbookViewId="0">
      <selection activeCell="V2" sqref="V2"/>
    </sheetView>
  </sheetViews>
  <sheetFormatPr defaultRowHeight="14.5" x14ac:dyDescent="0.35"/>
  <cols>
    <col min="1" max="4" width="8.7265625" style="19"/>
    <col min="5" max="5" width="8.7265625" style="19" customWidth="1"/>
    <col min="6" max="6" width="9.453125" style="19" bestFit="1" customWidth="1"/>
    <col min="7" max="11" width="8.7265625" style="19"/>
    <col min="12" max="12" width="8.7265625" style="19" customWidth="1"/>
    <col min="13" max="13" width="8.7265625" style="19"/>
    <col min="14" max="14" width="12.08984375" style="19" bestFit="1" customWidth="1"/>
    <col min="15" max="16" width="8.7265625" style="19"/>
    <col min="17" max="17" width="9.26953125" style="19" bestFit="1" customWidth="1"/>
    <col min="18" max="18" width="6.08984375" style="19" customWidth="1"/>
    <col min="19" max="19" width="26.6328125" style="19" customWidth="1"/>
    <col min="20" max="20" width="8.81640625" style="19" bestFit="1" customWidth="1"/>
    <col min="21" max="21" width="18.26953125" style="19" customWidth="1"/>
    <col min="22" max="16384" width="8.7265625" style="19"/>
  </cols>
  <sheetData>
    <row r="1" spans="6:21" ht="21" x14ac:dyDescent="0.5">
      <c r="F1" s="33">
        <f>GETPIVOTDATA("Net Revenue",'Pivot Table'!$A$3)</f>
        <v>58314400</v>
      </c>
      <c r="G1" s="34"/>
      <c r="H1" s="35"/>
      <c r="J1" s="39">
        <f>GETPIVOTDATA("Net Revenue",'Pivot Table'!$C$3)</f>
        <v>121488.33333333333</v>
      </c>
      <c r="K1" s="40"/>
      <c r="L1" s="41"/>
      <c r="N1" s="33">
        <f>GETPIVOTDATA("Net Revenue",'Pivot Table'!$E$3)</f>
        <v>700000</v>
      </c>
      <c r="O1" s="35"/>
      <c r="Q1" s="29">
        <f>GETPIVOTDATA("Net Unit Sold",'Pivot Table'!$I$3)</f>
        <v>47345</v>
      </c>
      <c r="R1" s="30"/>
      <c r="S1" s="31" t="s">
        <v>843</v>
      </c>
      <c r="T1" s="31"/>
      <c r="U1" s="31"/>
    </row>
    <row r="2" spans="6:21" ht="15.5" x14ac:dyDescent="0.35">
      <c r="F2" s="36" t="s">
        <v>845</v>
      </c>
      <c r="G2" s="37"/>
      <c r="H2" s="38"/>
      <c r="J2" s="42" t="s">
        <v>846</v>
      </c>
      <c r="K2" s="43"/>
      <c r="L2" s="44"/>
      <c r="M2" s="24"/>
      <c r="N2" s="45" t="s">
        <v>847</v>
      </c>
      <c r="O2" s="46"/>
      <c r="Q2" s="45" t="s">
        <v>848</v>
      </c>
      <c r="R2" s="46"/>
      <c r="S2" s="22" t="s">
        <v>755</v>
      </c>
      <c r="T2" s="22">
        <v>2298</v>
      </c>
      <c r="U2" s="25">
        <v>8043000</v>
      </c>
    </row>
    <row r="3" spans="6:21" x14ac:dyDescent="0.35">
      <c r="F3" s="21"/>
      <c r="G3" s="21"/>
      <c r="H3" s="21"/>
      <c r="S3" s="22" t="s">
        <v>153</v>
      </c>
      <c r="T3" s="22">
        <v>2785</v>
      </c>
      <c r="U3" s="25">
        <v>7798000</v>
      </c>
    </row>
    <row r="4" spans="6:21" x14ac:dyDescent="0.35">
      <c r="S4" s="22" t="s">
        <v>159</v>
      </c>
      <c r="T4" s="22">
        <v>2605</v>
      </c>
      <c r="U4" s="25">
        <v>4689000</v>
      </c>
    </row>
    <row r="5" spans="6:21" x14ac:dyDescent="0.35">
      <c r="S5" s="22" t="s">
        <v>133</v>
      </c>
      <c r="T5" s="22">
        <v>3462</v>
      </c>
      <c r="U5" s="25">
        <v>4154400</v>
      </c>
    </row>
    <row r="6" spans="6:21" x14ac:dyDescent="0.35">
      <c r="S6" s="22" t="s">
        <v>61</v>
      </c>
      <c r="T6" s="22">
        <v>1802</v>
      </c>
      <c r="U6" s="25">
        <v>3682800</v>
      </c>
    </row>
    <row r="7" spans="6:21" ht="15.5" x14ac:dyDescent="0.35">
      <c r="S7" s="32" t="s">
        <v>844</v>
      </c>
      <c r="T7" s="32"/>
      <c r="U7" s="32"/>
    </row>
    <row r="8" spans="6:21" x14ac:dyDescent="0.35">
      <c r="S8" s="20" t="s">
        <v>97</v>
      </c>
      <c r="T8" s="20">
        <v>2628</v>
      </c>
      <c r="U8" s="26">
        <v>1314000</v>
      </c>
    </row>
    <row r="9" spans="6:21" x14ac:dyDescent="0.35">
      <c r="S9" s="20" t="s">
        <v>121</v>
      </c>
      <c r="T9" s="20">
        <v>1374</v>
      </c>
      <c r="U9" s="26">
        <v>274800</v>
      </c>
    </row>
    <row r="10" spans="6:21" x14ac:dyDescent="0.35">
      <c r="S10" s="20" t="s">
        <v>754</v>
      </c>
      <c r="T10" s="20">
        <v>1344</v>
      </c>
      <c r="U10" s="26">
        <v>940800</v>
      </c>
    </row>
    <row r="11" spans="6:21" x14ac:dyDescent="0.35">
      <c r="S11" s="20" t="s">
        <v>81</v>
      </c>
      <c r="T11" s="20">
        <v>2109</v>
      </c>
      <c r="U11" s="26">
        <v>1370850</v>
      </c>
    </row>
    <row r="12" spans="6:21" x14ac:dyDescent="0.35">
      <c r="S12" s="20" t="s">
        <v>72</v>
      </c>
      <c r="T12" s="20">
        <v>3000</v>
      </c>
      <c r="U12" s="26">
        <v>1200000</v>
      </c>
    </row>
  </sheetData>
  <mergeCells count="10">
    <mergeCell ref="Q1:R1"/>
    <mergeCell ref="S1:U1"/>
    <mergeCell ref="S7:U7"/>
    <mergeCell ref="F1:H1"/>
    <mergeCell ref="F2:H2"/>
    <mergeCell ref="J1:L1"/>
    <mergeCell ref="J2:L2"/>
    <mergeCell ref="N1:O1"/>
    <mergeCell ref="N2:O2"/>
    <mergeCell ref="Q2: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62DD-1162-4ECD-9B3B-2B6DD934B214}">
  <dimension ref="J1"/>
  <sheetViews>
    <sheetView showGridLines="0" tabSelected="1" zoomScale="80" zoomScaleNormal="80" workbookViewId="0">
      <selection activeCell="K9" sqref="K9"/>
    </sheetView>
  </sheetViews>
  <sheetFormatPr defaultRowHeight="14.5" x14ac:dyDescent="0.35"/>
  <sheetData>
    <row r="1" spans="10:10" ht="17.5" x14ac:dyDescent="0.35">
      <c r="J1"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25E-1BEF-4305-8472-E4B9429FD08D}">
  <dimension ref="A1:N497"/>
  <sheetViews>
    <sheetView topLeftCell="B2" zoomScale="93" zoomScaleNormal="93" workbookViewId="0">
      <selection activeCell="L13" sqref="L13"/>
    </sheetView>
  </sheetViews>
  <sheetFormatPr defaultRowHeight="14.5" x14ac:dyDescent="0.35"/>
  <cols>
    <col min="1" max="1" width="16.54296875" customWidth="1"/>
    <col min="2" max="2" width="11" bestFit="1" customWidth="1"/>
    <col min="3" max="3" width="11.453125" bestFit="1" customWidth="1"/>
    <col min="4" max="4" width="14.7265625" bestFit="1" customWidth="1"/>
    <col min="5" max="5" width="19.1796875" customWidth="1"/>
    <col min="6" max="6" width="27.26953125" bestFit="1" customWidth="1"/>
    <col min="7" max="7" width="12.6328125" customWidth="1"/>
    <col min="8" max="8" width="12.36328125" style="10" customWidth="1"/>
    <col min="9" max="9" width="16.08984375" customWidth="1"/>
    <col min="10" max="10" width="10" customWidth="1"/>
    <col min="11" max="11" width="14.453125" customWidth="1"/>
    <col min="12" max="12" width="19.26953125" customWidth="1"/>
    <col min="13" max="13" width="14.7265625" bestFit="1" customWidth="1"/>
    <col min="14" max="14" width="20.7265625" customWidth="1"/>
  </cols>
  <sheetData>
    <row r="1" spans="1:14" ht="15.5" x14ac:dyDescent="0.35">
      <c r="A1" s="11" t="s">
        <v>0</v>
      </c>
      <c r="B1" s="11" t="s">
        <v>1</v>
      </c>
      <c r="C1" s="11" t="s">
        <v>2</v>
      </c>
      <c r="D1" s="11" t="s">
        <v>3</v>
      </c>
      <c r="E1" s="11" t="s">
        <v>4</v>
      </c>
      <c r="F1" s="11" t="s">
        <v>5</v>
      </c>
      <c r="G1" s="11" t="s">
        <v>6</v>
      </c>
      <c r="H1" s="12" t="s">
        <v>756</v>
      </c>
      <c r="I1" s="11" t="s">
        <v>8</v>
      </c>
      <c r="J1" s="11" t="s">
        <v>9</v>
      </c>
      <c r="K1" s="11" t="s">
        <v>757</v>
      </c>
      <c r="L1" s="11" t="s">
        <v>842</v>
      </c>
      <c r="M1" s="11" t="s">
        <v>758</v>
      </c>
      <c r="N1" s="11" t="s">
        <v>10</v>
      </c>
    </row>
    <row r="2" spans="1:14" x14ac:dyDescent="0.35">
      <c r="A2" t="s">
        <v>95</v>
      </c>
      <c r="B2" s="9">
        <v>45295</v>
      </c>
      <c r="C2" t="s">
        <v>96</v>
      </c>
      <c r="D2" t="s">
        <v>13</v>
      </c>
      <c r="E2" t="s">
        <v>20</v>
      </c>
      <c r="F2" t="s">
        <v>97</v>
      </c>
      <c r="G2">
        <v>51</v>
      </c>
      <c r="H2" s="10">
        <v>500</v>
      </c>
      <c r="I2" s="10">
        <v>25500</v>
      </c>
      <c r="J2">
        <v>1</v>
      </c>
      <c r="K2" s="10">
        <v>500</v>
      </c>
      <c r="L2">
        <v>50</v>
      </c>
      <c r="M2" s="10">
        <v>25000</v>
      </c>
      <c r="N2" t="s">
        <v>62</v>
      </c>
    </row>
    <row r="3" spans="1:14" x14ac:dyDescent="0.35">
      <c r="A3" t="s">
        <v>300</v>
      </c>
      <c r="B3" s="9">
        <v>45295</v>
      </c>
      <c r="C3" t="s">
        <v>44</v>
      </c>
      <c r="D3" t="s">
        <v>35</v>
      </c>
      <c r="E3" t="s">
        <v>20</v>
      </c>
      <c r="F3" t="s">
        <v>153</v>
      </c>
      <c r="G3">
        <v>160</v>
      </c>
      <c r="H3" s="10">
        <v>2800</v>
      </c>
      <c r="I3" s="10">
        <v>448000</v>
      </c>
      <c r="J3">
        <v>16</v>
      </c>
      <c r="K3" s="10">
        <v>44800</v>
      </c>
      <c r="L3">
        <v>144</v>
      </c>
      <c r="M3" s="10">
        <v>403200</v>
      </c>
      <c r="N3" t="s">
        <v>33</v>
      </c>
    </row>
    <row r="4" spans="1:14" x14ac:dyDescent="0.35">
      <c r="A4" t="s">
        <v>524</v>
      </c>
      <c r="B4" s="9">
        <v>45295</v>
      </c>
      <c r="C4" t="s">
        <v>74</v>
      </c>
      <c r="D4" t="s">
        <v>65</v>
      </c>
      <c r="E4" t="s">
        <v>14</v>
      </c>
      <c r="F4" t="s">
        <v>61</v>
      </c>
      <c r="G4">
        <v>30</v>
      </c>
      <c r="H4" s="10">
        <v>2200</v>
      </c>
      <c r="I4" s="10">
        <v>66000</v>
      </c>
      <c r="J4">
        <v>3</v>
      </c>
      <c r="K4" s="10">
        <v>6600</v>
      </c>
      <c r="L4">
        <v>27</v>
      </c>
      <c r="M4" s="10">
        <v>59400</v>
      </c>
      <c r="N4" t="s">
        <v>122</v>
      </c>
    </row>
    <row r="5" spans="1:14" x14ac:dyDescent="0.35">
      <c r="A5" t="s">
        <v>431</v>
      </c>
      <c r="B5" s="9">
        <v>45296</v>
      </c>
      <c r="C5" t="s">
        <v>18</v>
      </c>
      <c r="D5" t="s">
        <v>49</v>
      </c>
      <c r="E5" t="s">
        <v>20</v>
      </c>
      <c r="F5" t="s">
        <v>52</v>
      </c>
      <c r="G5">
        <v>104</v>
      </c>
      <c r="H5" s="10">
        <v>450</v>
      </c>
      <c r="I5" s="10">
        <v>46800</v>
      </c>
      <c r="J5">
        <v>0</v>
      </c>
      <c r="K5" s="10">
        <v>0</v>
      </c>
      <c r="L5">
        <v>104</v>
      </c>
      <c r="M5" s="10">
        <v>46800</v>
      </c>
      <c r="N5" t="s">
        <v>33</v>
      </c>
    </row>
    <row r="6" spans="1:14" x14ac:dyDescent="0.35">
      <c r="A6" t="s">
        <v>588</v>
      </c>
      <c r="B6" s="9">
        <v>45296</v>
      </c>
      <c r="C6" t="s">
        <v>25</v>
      </c>
      <c r="D6" t="s">
        <v>79</v>
      </c>
      <c r="E6" t="s">
        <v>31</v>
      </c>
      <c r="F6" t="s">
        <v>89</v>
      </c>
      <c r="G6">
        <v>20</v>
      </c>
      <c r="H6" s="10">
        <v>0</v>
      </c>
      <c r="I6" s="10">
        <v>0</v>
      </c>
      <c r="J6">
        <v>1</v>
      </c>
      <c r="K6" s="10">
        <v>0</v>
      </c>
      <c r="L6">
        <v>19</v>
      </c>
      <c r="M6" s="10">
        <v>0</v>
      </c>
      <c r="N6" t="s">
        <v>62</v>
      </c>
    </row>
    <row r="7" spans="1:14" x14ac:dyDescent="0.35">
      <c r="A7" t="s">
        <v>94</v>
      </c>
      <c r="B7" s="9">
        <v>45299</v>
      </c>
      <c r="C7" t="s">
        <v>74</v>
      </c>
      <c r="D7" t="s">
        <v>49</v>
      </c>
      <c r="E7" t="s">
        <v>31</v>
      </c>
      <c r="F7" t="s">
        <v>89</v>
      </c>
      <c r="G7">
        <v>150</v>
      </c>
      <c r="H7" s="10">
        <v>900</v>
      </c>
      <c r="I7" s="10">
        <v>135000</v>
      </c>
      <c r="J7">
        <v>8</v>
      </c>
      <c r="K7" s="10">
        <v>7200</v>
      </c>
      <c r="L7">
        <v>142</v>
      </c>
      <c r="M7" s="10">
        <v>127800</v>
      </c>
      <c r="N7" t="s">
        <v>122</v>
      </c>
    </row>
    <row r="8" spans="1:14" x14ac:dyDescent="0.35">
      <c r="A8" t="s">
        <v>82</v>
      </c>
      <c r="B8" s="9">
        <v>45300</v>
      </c>
      <c r="C8" t="s">
        <v>51</v>
      </c>
      <c r="D8" t="s">
        <v>79</v>
      </c>
      <c r="E8" t="s">
        <v>20</v>
      </c>
      <c r="F8" t="s">
        <v>52</v>
      </c>
      <c r="G8">
        <v>100</v>
      </c>
      <c r="H8" s="10">
        <v>450</v>
      </c>
      <c r="I8" s="10">
        <v>45000</v>
      </c>
      <c r="J8">
        <v>0</v>
      </c>
      <c r="K8" s="10">
        <v>0</v>
      </c>
      <c r="L8">
        <v>100</v>
      </c>
      <c r="M8" s="10">
        <v>45000</v>
      </c>
      <c r="N8" t="s">
        <v>753</v>
      </c>
    </row>
    <row r="9" spans="1:14" x14ac:dyDescent="0.35">
      <c r="A9" t="s">
        <v>325</v>
      </c>
      <c r="B9" s="9">
        <v>45300</v>
      </c>
      <c r="C9" t="s">
        <v>74</v>
      </c>
      <c r="D9" t="s">
        <v>35</v>
      </c>
      <c r="E9" t="s">
        <v>31</v>
      </c>
      <c r="F9" t="s">
        <v>121</v>
      </c>
      <c r="G9">
        <v>77</v>
      </c>
      <c r="H9" s="10">
        <v>200</v>
      </c>
      <c r="I9" s="10">
        <v>15400</v>
      </c>
      <c r="J9">
        <v>3</v>
      </c>
      <c r="K9" s="10">
        <v>600</v>
      </c>
      <c r="L9">
        <v>74</v>
      </c>
      <c r="M9" s="10">
        <v>14800</v>
      </c>
      <c r="N9" t="s">
        <v>33</v>
      </c>
    </row>
    <row r="10" spans="1:14" x14ac:dyDescent="0.35">
      <c r="A10" t="s">
        <v>617</v>
      </c>
      <c r="B10" s="9">
        <v>45301</v>
      </c>
      <c r="C10" t="s">
        <v>96</v>
      </c>
      <c r="D10" t="s">
        <v>41</v>
      </c>
      <c r="E10" t="s">
        <v>14</v>
      </c>
      <c r="F10" t="s">
        <v>72</v>
      </c>
      <c r="G10">
        <v>106</v>
      </c>
      <c r="H10" s="10">
        <v>400</v>
      </c>
      <c r="I10" s="10">
        <v>42400</v>
      </c>
      <c r="J10">
        <v>5</v>
      </c>
      <c r="K10" s="10">
        <v>2000</v>
      </c>
      <c r="L10">
        <v>101</v>
      </c>
      <c r="M10" s="10">
        <v>40400</v>
      </c>
      <c r="N10" t="s">
        <v>122</v>
      </c>
    </row>
    <row r="11" spans="1:14" x14ac:dyDescent="0.35">
      <c r="A11" t="s">
        <v>192</v>
      </c>
      <c r="B11" s="9">
        <v>45302</v>
      </c>
      <c r="C11" t="s">
        <v>51</v>
      </c>
      <c r="D11" t="s">
        <v>41</v>
      </c>
      <c r="E11" t="s">
        <v>31</v>
      </c>
      <c r="F11" t="s">
        <v>159</v>
      </c>
      <c r="G11">
        <v>154</v>
      </c>
      <c r="H11" s="10">
        <v>1800</v>
      </c>
      <c r="I11" s="10">
        <v>277200</v>
      </c>
      <c r="J11">
        <v>12</v>
      </c>
      <c r="K11" s="10">
        <v>21600</v>
      </c>
      <c r="L11">
        <v>142</v>
      </c>
      <c r="M11" s="10">
        <v>255600</v>
      </c>
      <c r="N11" t="s">
        <v>33</v>
      </c>
    </row>
    <row r="12" spans="1:14" x14ac:dyDescent="0.35">
      <c r="A12" t="s">
        <v>477</v>
      </c>
      <c r="B12" s="9">
        <v>45302</v>
      </c>
      <c r="C12" t="s">
        <v>74</v>
      </c>
      <c r="D12" t="s">
        <v>35</v>
      </c>
      <c r="E12" t="s">
        <v>31</v>
      </c>
      <c r="F12" t="s">
        <v>55</v>
      </c>
      <c r="G12">
        <v>61</v>
      </c>
      <c r="H12" s="10">
        <v>1100</v>
      </c>
      <c r="I12" s="10">
        <v>67100</v>
      </c>
      <c r="J12">
        <v>6</v>
      </c>
      <c r="K12" s="10">
        <v>6600</v>
      </c>
      <c r="L12">
        <v>55</v>
      </c>
      <c r="M12" s="10">
        <v>60500</v>
      </c>
      <c r="N12" t="s">
        <v>62</v>
      </c>
    </row>
    <row r="13" spans="1:14" x14ac:dyDescent="0.35">
      <c r="A13" t="s">
        <v>654</v>
      </c>
      <c r="B13" s="9">
        <v>45302</v>
      </c>
      <c r="C13" t="s">
        <v>74</v>
      </c>
      <c r="D13" t="s">
        <v>79</v>
      </c>
      <c r="E13" t="s">
        <v>14</v>
      </c>
      <c r="F13" t="s">
        <v>27</v>
      </c>
      <c r="G13">
        <v>56</v>
      </c>
      <c r="H13" s="10">
        <v>1600</v>
      </c>
      <c r="I13" s="10">
        <v>89600</v>
      </c>
      <c r="J13">
        <v>0</v>
      </c>
      <c r="K13" s="10">
        <v>0</v>
      </c>
      <c r="L13">
        <v>56</v>
      </c>
      <c r="M13" s="10">
        <v>89600</v>
      </c>
      <c r="N13" t="s">
        <v>122</v>
      </c>
    </row>
    <row r="14" spans="1:14" x14ac:dyDescent="0.35">
      <c r="A14" t="s">
        <v>468</v>
      </c>
      <c r="B14" s="9">
        <v>45303</v>
      </c>
      <c r="C14" t="s">
        <v>25</v>
      </c>
      <c r="D14" t="s">
        <v>79</v>
      </c>
      <c r="E14" t="s">
        <v>20</v>
      </c>
      <c r="F14" t="s">
        <v>153</v>
      </c>
      <c r="G14">
        <v>119</v>
      </c>
      <c r="H14" s="10">
        <v>2800</v>
      </c>
      <c r="I14" s="10">
        <v>333200</v>
      </c>
      <c r="J14">
        <v>5</v>
      </c>
      <c r="K14" s="10">
        <v>14000</v>
      </c>
      <c r="L14">
        <v>114</v>
      </c>
      <c r="M14" s="10">
        <v>319200</v>
      </c>
      <c r="N14" t="s">
        <v>62</v>
      </c>
    </row>
    <row r="15" spans="1:14" x14ac:dyDescent="0.35">
      <c r="A15" t="s">
        <v>246</v>
      </c>
      <c r="B15" s="9">
        <v>45308</v>
      </c>
      <c r="C15" t="s">
        <v>96</v>
      </c>
      <c r="D15" t="s">
        <v>41</v>
      </c>
      <c r="E15" t="s">
        <v>31</v>
      </c>
      <c r="F15" t="s">
        <v>32</v>
      </c>
      <c r="G15">
        <v>57</v>
      </c>
      <c r="H15" s="10">
        <v>1400</v>
      </c>
      <c r="I15" s="10">
        <v>79800</v>
      </c>
      <c r="J15">
        <v>0</v>
      </c>
      <c r="K15" s="10">
        <v>0</v>
      </c>
      <c r="L15">
        <v>57</v>
      </c>
      <c r="M15" s="10">
        <v>79800</v>
      </c>
      <c r="N15" t="s">
        <v>62</v>
      </c>
    </row>
    <row r="16" spans="1:14" x14ac:dyDescent="0.35">
      <c r="A16" t="s">
        <v>683</v>
      </c>
      <c r="B16" s="9">
        <v>45308</v>
      </c>
      <c r="C16" t="s">
        <v>44</v>
      </c>
      <c r="D16" t="s">
        <v>54</v>
      </c>
      <c r="E16" t="s">
        <v>20</v>
      </c>
      <c r="F16" t="s">
        <v>133</v>
      </c>
      <c r="G16">
        <v>131</v>
      </c>
      <c r="H16" s="10">
        <v>1200</v>
      </c>
      <c r="I16" s="10">
        <v>157200</v>
      </c>
      <c r="J16">
        <v>11</v>
      </c>
      <c r="K16" s="10">
        <v>13200</v>
      </c>
      <c r="L16">
        <v>120</v>
      </c>
      <c r="M16" s="10">
        <v>144000</v>
      </c>
      <c r="N16" t="s">
        <v>33</v>
      </c>
    </row>
    <row r="17" spans="1:14" x14ac:dyDescent="0.35">
      <c r="A17" t="s">
        <v>722</v>
      </c>
      <c r="B17" s="9">
        <v>45310</v>
      </c>
      <c r="C17" t="s">
        <v>96</v>
      </c>
      <c r="D17" t="s">
        <v>13</v>
      </c>
      <c r="E17" t="s">
        <v>14</v>
      </c>
      <c r="F17" t="s">
        <v>61</v>
      </c>
      <c r="G17">
        <v>111</v>
      </c>
      <c r="H17" s="10">
        <v>2200</v>
      </c>
      <c r="I17" s="10">
        <v>244200</v>
      </c>
      <c r="J17">
        <v>1</v>
      </c>
      <c r="K17" s="10">
        <v>2200</v>
      </c>
      <c r="L17">
        <v>110</v>
      </c>
      <c r="M17" s="10">
        <v>242000</v>
      </c>
      <c r="N17" t="s">
        <v>122</v>
      </c>
    </row>
    <row r="18" spans="1:14" x14ac:dyDescent="0.35">
      <c r="A18" t="s">
        <v>650</v>
      </c>
      <c r="B18" s="9">
        <v>45311</v>
      </c>
      <c r="C18" t="s">
        <v>74</v>
      </c>
      <c r="D18" t="s">
        <v>19</v>
      </c>
      <c r="E18" t="s">
        <v>31</v>
      </c>
      <c r="F18" t="s">
        <v>159</v>
      </c>
      <c r="G18">
        <v>106</v>
      </c>
      <c r="H18" s="10">
        <v>1800</v>
      </c>
      <c r="I18" s="10">
        <v>190800</v>
      </c>
      <c r="J18">
        <v>4</v>
      </c>
      <c r="K18" s="10">
        <v>7200</v>
      </c>
      <c r="L18">
        <v>102</v>
      </c>
      <c r="M18" s="10">
        <v>183600</v>
      </c>
      <c r="N18" t="s">
        <v>33</v>
      </c>
    </row>
    <row r="19" spans="1:14" x14ac:dyDescent="0.35">
      <c r="A19" t="s">
        <v>11</v>
      </c>
      <c r="B19" s="9">
        <v>45313</v>
      </c>
      <c r="C19" t="s">
        <v>51</v>
      </c>
      <c r="D19" t="s">
        <v>13</v>
      </c>
      <c r="E19" t="s">
        <v>14</v>
      </c>
      <c r="F19" t="s">
        <v>15</v>
      </c>
      <c r="G19">
        <v>126</v>
      </c>
      <c r="H19" s="10">
        <v>1200</v>
      </c>
      <c r="I19" s="10">
        <v>151200</v>
      </c>
      <c r="J19">
        <v>5</v>
      </c>
      <c r="K19" s="10">
        <v>6000</v>
      </c>
      <c r="L19">
        <v>121</v>
      </c>
      <c r="M19" s="10">
        <v>145200</v>
      </c>
      <c r="N19" t="s">
        <v>33</v>
      </c>
    </row>
    <row r="20" spans="1:14" x14ac:dyDescent="0.35">
      <c r="A20" t="s">
        <v>266</v>
      </c>
      <c r="B20" s="9">
        <v>45314</v>
      </c>
      <c r="C20" t="s">
        <v>25</v>
      </c>
      <c r="D20" t="s">
        <v>93</v>
      </c>
      <c r="E20" t="s">
        <v>31</v>
      </c>
      <c r="F20" t="s">
        <v>89</v>
      </c>
      <c r="G20">
        <v>140</v>
      </c>
      <c r="H20" s="10">
        <v>900</v>
      </c>
      <c r="I20" s="10">
        <v>126000</v>
      </c>
      <c r="J20">
        <v>0</v>
      </c>
      <c r="K20" s="10">
        <v>0</v>
      </c>
      <c r="L20">
        <v>140</v>
      </c>
      <c r="M20" s="10">
        <v>126000</v>
      </c>
      <c r="N20" t="s">
        <v>753</v>
      </c>
    </row>
    <row r="21" spans="1:14" x14ac:dyDescent="0.35">
      <c r="A21" t="s">
        <v>581</v>
      </c>
      <c r="B21" s="9">
        <v>45314</v>
      </c>
      <c r="C21" t="s">
        <v>25</v>
      </c>
      <c r="D21" t="s">
        <v>49</v>
      </c>
      <c r="E21" t="s">
        <v>20</v>
      </c>
      <c r="F21" t="s">
        <v>52</v>
      </c>
      <c r="G21">
        <v>150</v>
      </c>
      <c r="H21" s="10">
        <v>450</v>
      </c>
      <c r="I21" s="10">
        <v>67500</v>
      </c>
      <c r="J21">
        <v>0</v>
      </c>
      <c r="K21" s="10">
        <v>0</v>
      </c>
      <c r="L21">
        <v>150</v>
      </c>
      <c r="M21" s="10">
        <v>67500</v>
      </c>
      <c r="N21" t="s">
        <v>33</v>
      </c>
    </row>
    <row r="22" spans="1:14" x14ac:dyDescent="0.35">
      <c r="A22" t="s">
        <v>456</v>
      </c>
      <c r="B22" s="9">
        <v>45315</v>
      </c>
      <c r="C22" t="s">
        <v>44</v>
      </c>
      <c r="D22" t="s">
        <v>79</v>
      </c>
      <c r="E22" t="s">
        <v>14</v>
      </c>
      <c r="F22" t="s">
        <v>754</v>
      </c>
      <c r="G22">
        <v>84</v>
      </c>
      <c r="H22" s="10">
        <v>700</v>
      </c>
      <c r="I22" s="10">
        <v>58800</v>
      </c>
      <c r="J22">
        <v>4</v>
      </c>
      <c r="K22" s="10">
        <v>2800</v>
      </c>
      <c r="L22">
        <v>80</v>
      </c>
      <c r="M22" s="10">
        <v>56000</v>
      </c>
      <c r="N22" t="s">
        <v>122</v>
      </c>
    </row>
    <row r="23" spans="1:14" x14ac:dyDescent="0.35">
      <c r="A23" t="s">
        <v>490</v>
      </c>
      <c r="B23" s="9">
        <v>45315</v>
      </c>
      <c r="C23" t="s">
        <v>25</v>
      </c>
      <c r="D23" t="s">
        <v>26</v>
      </c>
      <c r="E23" t="s">
        <v>31</v>
      </c>
      <c r="F23" t="s">
        <v>81</v>
      </c>
      <c r="G23">
        <v>117</v>
      </c>
      <c r="H23" s="10">
        <v>650</v>
      </c>
      <c r="I23" s="10">
        <v>76050</v>
      </c>
      <c r="J23">
        <v>2</v>
      </c>
      <c r="K23" s="10">
        <v>1300</v>
      </c>
      <c r="L23">
        <v>115</v>
      </c>
      <c r="M23" s="10">
        <v>74750</v>
      </c>
      <c r="N23" t="s">
        <v>62</v>
      </c>
    </row>
    <row r="24" spans="1:14" x14ac:dyDescent="0.35">
      <c r="A24" t="s">
        <v>504</v>
      </c>
      <c r="B24" s="9">
        <v>45317</v>
      </c>
      <c r="C24" t="s">
        <v>18</v>
      </c>
      <c r="D24" t="s">
        <v>79</v>
      </c>
      <c r="E24" t="s">
        <v>20</v>
      </c>
      <c r="F24" t="s">
        <v>36</v>
      </c>
      <c r="G24">
        <v>129</v>
      </c>
      <c r="H24" s="10">
        <v>900</v>
      </c>
      <c r="I24" s="10">
        <v>116100</v>
      </c>
      <c r="J24">
        <v>5</v>
      </c>
      <c r="K24" s="10">
        <v>4500</v>
      </c>
      <c r="L24">
        <v>124</v>
      </c>
      <c r="M24" s="10">
        <v>111600</v>
      </c>
      <c r="N24" t="s">
        <v>122</v>
      </c>
    </row>
    <row r="25" spans="1:14" x14ac:dyDescent="0.35">
      <c r="A25" t="s">
        <v>343</v>
      </c>
      <c r="B25" s="9">
        <v>45320</v>
      </c>
      <c r="C25" t="s">
        <v>18</v>
      </c>
      <c r="D25" t="s">
        <v>13</v>
      </c>
      <c r="E25" t="s">
        <v>20</v>
      </c>
      <c r="F25" t="s">
        <v>153</v>
      </c>
      <c r="G25">
        <v>86</v>
      </c>
      <c r="H25" s="10">
        <v>2800</v>
      </c>
      <c r="I25" s="10">
        <v>240800</v>
      </c>
      <c r="J25">
        <v>0</v>
      </c>
      <c r="K25" s="10">
        <v>0</v>
      </c>
      <c r="L25">
        <v>86</v>
      </c>
      <c r="M25" s="10">
        <v>240800</v>
      </c>
      <c r="N25" t="s">
        <v>33</v>
      </c>
    </row>
    <row r="26" spans="1:14" x14ac:dyDescent="0.35">
      <c r="A26" t="s">
        <v>502</v>
      </c>
      <c r="B26" s="9">
        <v>45320</v>
      </c>
      <c r="C26" t="s">
        <v>25</v>
      </c>
      <c r="D26" t="s">
        <v>54</v>
      </c>
      <c r="E26" t="s">
        <v>14</v>
      </c>
      <c r="F26" t="s">
        <v>61</v>
      </c>
      <c r="G26">
        <v>46</v>
      </c>
      <c r="H26" s="10">
        <v>2200</v>
      </c>
      <c r="I26" s="10">
        <v>101200</v>
      </c>
      <c r="J26">
        <v>2</v>
      </c>
      <c r="K26" s="10">
        <v>4400</v>
      </c>
      <c r="L26">
        <v>44</v>
      </c>
      <c r="M26" s="10">
        <v>96800</v>
      </c>
      <c r="N26" t="s">
        <v>33</v>
      </c>
    </row>
    <row r="27" spans="1:14" x14ac:dyDescent="0.35">
      <c r="A27" t="s">
        <v>108</v>
      </c>
      <c r="B27" s="9">
        <v>45321</v>
      </c>
      <c r="C27" t="s">
        <v>96</v>
      </c>
      <c r="D27" t="s">
        <v>49</v>
      </c>
      <c r="E27" t="s">
        <v>20</v>
      </c>
      <c r="F27" t="s">
        <v>52</v>
      </c>
      <c r="G27">
        <v>178</v>
      </c>
      <c r="H27" s="10">
        <v>450</v>
      </c>
      <c r="I27" s="10">
        <v>80100</v>
      </c>
      <c r="J27">
        <v>14</v>
      </c>
      <c r="K27" s="10">
        <v>6300</v>
      </c>
      <c r="L27">
        <v>164</v>
      </c>
      <c r="M27" s="10">
        <v>73800</v>
      </c>
      <c r="N27" t="s">
        <v>33</v>
      </c>
    </row>
    <row r="28" spans="1:14" x14ac:dyDescent="0.35">
      <c r="A28" t="s">
        <v>667</v>
      </c>
      <c r="B28" s="9">
        <v>45321</v>
      </c>
      <c r="C28" t="s">
        <v>25</v>
      </c>
      <c r="D28" t="s">
        <v>54</v>
      </c>
      <c r="E28" t="s">
        <v>14</v>
      </c>
      <c r="F28" t="s">
        <v>61</v>
      </c>
      <c r="G28">
        <v>18</v>
      </c>
      <c r="H28" s="10">
        <v>2200</v>
      </c>
      <c r="I28" s="10">
        <v>39600</v>
      </c>
      <c r="J28">
        <v>1</v>
      </c>
      <c r="K28" s="10">
        <v>2200</v>
      </c>
      <c r="L28">
        <v>17</v>
      </c>
      <c r="M28" s="10">
        <v>37400</v>
      </c>
      <c r="N28" t="s">
        <v>62</v>
      </c>
    </row>
    <row r="29" spans="1:14" x14ac:dyDescent="0.35">
      <c r="A29" t="s">
        <v>364</v>
      </c>
      <c r="B29" s="9">
        <v>45322</v>
      </c>
      <c r="C29" t="s">
        <v>96</v>
      </c>
      <c r="D29" t="s">
        <v>93</v>
      </c>
      <c r="E29" t="s">
        <v>14</v>
      </c>
      <c r="F29" t="s">
        <v>72</v>
      </c>
      <c r="G29">
        <v>187</v>
      </c>
      <c r="H29" s="10">
        <v>400</v>
      </c>
      <c r="I29" s="10">
        <v>74800</v>
      </c>
      <c r="J29">
        <v>0</v>
      </c>
      <c r="K29" s="10">
        <v>0</v>
      </c>
      <c r="L29">
        <v>187</v>
      </c>
      <c r="M29" s="10">
        <v>74800</v>
      </c>
      <c r="N29" t="s">
        <v>122</v>
      </c>
    </row>
    <row r="30" spans="1:14" x14ac:dyDescent="0.35">
      <c r="A30" t="s">
        <v>462</v>
      </c>
      <c r="B30" s="9">
        <v>45322</v>
      </c>
      <c r="C30" t="s">
        <v>51</v>
      </c>
      <c r="D30" t="s">
        <v>35</v>
      </c>
      <c r="E30" t="s">
        <v>31</v>
      </c>
      <c r="F30" t="s">
        <v>58</v>
      </c>
      <c r="G30">
        <v>172</v>
      </c>
      <c r="H30" s="10">
        <v>850</v>
      </c>
      <c r="I30" s="10">
        <v>146200</v>
      </c>
      <c r="J30">
        <v>11</v>
      </c>
      <c r="K30" s="10">
        <v>9350</v>
      </c>
      <c r="L30">
        <v>161</v>
      </c>
      <c r="M30" s="10">
        <v>136850</v>
      </c>
      <c r="N30" t="s">
        <v>33</v>
      </c>
    </row>
    <row r="31" spans="1:14" x14ac:dyDescent="0.35">
      <c r="A31" t="s">
        <v>562</v>
      </c>
      <c r="B31" s="9">
        <v>45322</v>
      </c>
      <c r="C31" t="s">
        <v>74</v>
      </c>
      <c r="D31" t="s">
        <v>753</v>
      </c>
      <c r="E31" t="s">
        <v>31</v>
      </c>
      <c r="F31" t="s">
        <v>81</v>
      </c>
      <c r="G31">
        <v>129</v>
      </c>
      <c r="H31" s="10">
        <v>650</v>
      </c>
      <c r="I31" s="10">
        <v>83850</v>
      </c>
      <c r="J31">
        <v>12</v>
      </c>
      <c r="K31" s="10">
        <v>7800</v>
      </c>
      <c r="L31">
        <v>117</v>
      </c>
      <c r="M31" s="10">
        <v>76050</v>
      </c>
      <c r="N31" t="s">
        <v>122</v>
      </c>
    </row>
    <row r="32" spans="1:14" x14ac:dyDescent="0.35">
      <c r="A32" t="s">
        <v>415</v>
      </c>
      <c r="B32" s="9">
        <v>45324</v>
      </c>
      <c r="C32" t="s">
        <v>96</v>
      </c>
      <c r="D32" t="s">
        <v>13</v>
      </c>
      <c r="E32" t="s">
        <v>14</v>
      </c>
      <c r="F32" t="s">
        <v>754</v>
      </c>
      <c r="G32">
        <v>59</v>
      </c>
      <c r="H32" s="10">
        <v>700</v>
      </c>
      <c r="I32" s="10">
        <v>41300</v>
      </c>
      <c r="J32">
        <v>1</v>
      </c>
      <c r="K32" s="10">
        <v>700</v>
      </c>
      <c r="L32">
        <v>58</v>
      </c>
      <c r="M32" s="10">
        <v>40600</v>
      </c>
      <c r="N32" t="s">
        <v>122</v>
      </c>
    </row>
    <row r="33" spans="1:14" x14ac:dyDescent="0.35">
      <c r="A33" t="s">
        <v>542</v>
      </c>
      <c r="B33" s="9">
        <v>45324</v>
      </c>
      <c r="C33" t="s">
        <v>18</v>
      </c>
      <c r="D33" t="s">
        <v>26</v>
      </c>
      <c r="E33" t="s">
        <v>20</v>
      </c>
      <c r="F33" t="s">
        <v>52</v>
      </c>
      <c r="G33">
        <v>139</v>
      </c>
      <c r="H33" s="10">
        <v>450</v>
      </c>
      <c r="I33" s="10">
        <v>62550</v>
      </c>
      <c r="J33">
        <v>10</v>
      </c>
      <c r="K33" s="10">
        <v>4500</v>
      </c>
      <c r="L33">
        <v>129</v>
      </c>
      <c r="M33" s="10">
        <v>58050</v>
      </c>
      <c r="N33" t="s">
        <v>62</v>
      </c>
    </row>
    <row r="34" spans="1:14" x14ac:dyDescent="0.35">
      <c r="A34" t="s">
        <v>553</v>
      </c>
      <c r="B34" s="9">
        <v>45324</v>
      </c>
      <c r="C34" t="s">
        <v>96</v>
      </c>
      <c r="D34" t="s">
        <v>79</v>
      </c>
      <c r="E34" t="s">
        <v>31</v>
      </c>
      <c r="F34" t="s">
        <v>58</v>
      </c>
      <c r="G34">
        <v>164</v>
      </c>
      <c r="H34" s="10">
        <v>850</v>
      </c>
      <c r="I34" s="10">
        <v>139400</v>
      </c>
      <c r="J34">
        <v>0</v>
      </c>
      <c r="K34" s="10">
        <v>0</v>
      </c>
      <c r="L34">
        <v>164</v>
      </c>
      <c r="M34" s="10">
        <v>139400</v>
      </c>
      <c r="N34" t="s">
        <v>62</v>
      </c>
    </row>
    <row r="35" spans="1:14" x14ac:dyDescent="0.35">
      <c r="A35" t="s">
        <v>119</v>
      </c>
      <c r="B35" s="9">
        <v>45325</v>
      </c>
      <c r="C35" t="s">
        <v>25</v>
      </c>
      <c r="D35" t="s">
        <v>49</v>
      </c>
      <c r="E35" t="s">
        <v>20</v>
      </c>
      <c r="F35" t="s">
        <v>755</v>
      </c>
      <c r="G35">
        <v>8</v>
      </c>
      <c r="H35" s="10">
        <v>3500</v>
      </c>
      <c r="I35" s="10">
        <v>28000</v>
      </c>
      <c r="J35">
        <v>1</v>
      </c>
      <c r="K35" s="10">
        <v>3500</v>
      </c>
      <c r="L35">
        <v>7</v>
      </c>
      <c r="M35" s="10">
        <v>24500</v>
      </c>
      <c r="N35" t="s">
        <v>33</v>
      </c>
    </row>
    <row r="36" spans="1:14" x14ac:dyDescent="0.35">
      <c r="A36" t="s">
        <v>422</v>
      </c>
      <c r="B36" s="9">
        <v>45325</v>
      </c>
      <c r="C36" t="s">
        <v>18</v>
      </c>
      <c r="D36" t="s">
        <v>41</v>
      </c>
      <c r="E36" t="s">
        <v>31</v>
      </c>
      <c r="F36" t="s">
        <v>32</v>
      </c>
      <c r="G36">
        <v>88</v>
      </c>
      <c r="H36" s="10">
        <v>1400</v>
      </c>
      <c r="I36" s="10">
        <v>123200</v>
      </c>
      <c r="J36">
        <v>0</v>
      </c>
      <c r="K36" s="10">
        <v>0</v>
      </c>
      <c r="L36">
        <v>88</v>
      </c>
      <c r="M36" s="10">
        <v>123200</v>
      </c>
      <c r="N36" t="s">
        <v>62</v>
      </c>
    </row>
    <row r="37" spans="1:14" x14ac:dyDescent="0.35">
      <c r="A37" t="s">
        <v>438</v>
      </c>
      <c r="B37" s="9">
        <v>45327</v>
      </c>
      <c r="C37" t="s">
        <v>51</v>
      </c>
      <c r="D37" t="s">
        <v>54</v>
      </c>
      <c r="E37" t="s">
        <v>20</v>
      </c>
      <c r="F37" t="s">
        <v>133</v>
      </c>
      <c r="G37">
        <v>119</v>
      </c>
      <c r="H37" s="10">
        <v>1200</v>
      </c>
      <c r="I37" s="10">
        <v>142800</v>
      </c>
      <c r="J37">
        <v>2</v>
      </c>
      <c r="K37" s="10">
        <v>2400</v>
      </c>
      <c r="L37">
        <v>117</v>
      </c>
      <c r="M37" s="10">
        <v>140400</v>
      </c>
      <c r="N37" t="s">
        <v>122</v>
      </c>
    </row>
    <row r="38" spans="1:14" x14ac:dyDescent="0.35">
      <c r="A38" t="s">
        <v>356</v>
      </c>
      <c r="B38" s="9">
        <v>45328</v>
      </c>
      <c r="C38" t="s">
        <v>74</v>
      </c>
      <c r="D38" t="s">
        <v>35</v>
      </c>
      <c r="E38" t="s">
        <v>31</v>
      </c>
      <c r="F38" t="s">
        <v>89</v>
      </c>
      <c r="G38">
        <v>80</v>
      </c>
      <c r="H38" s="10">
        <v>900</v>
      </c>
      <c r="I38" s="10">
        <v>72000</v>
      </c>
      <c r="J38">
        <v>8</v>
      </c>
      <c r="K38" s="10">
        <v>7200</v>
      </c>
      <c r="L38">
        <v>72</v>
      </c>
      <c r="M38" s="10">
        <v>64800</v>
      </c>
      <c r="N38" t="s">
        <v>122</v>
      </c>
    </row>
    <row r="39" spans="1:14" x14ac:dyDescent="0.35">
      <c r="A39" t="s">
        <v>493</v>
      </c>
      <c r="B39" s="9">
        <v>45328</v>
      </c>
      <c r="C39" t="s">
        <v>44</v>
      </c>
      <c r="D39" t="s">
        <v>13</v>
      </c>
      <c r="E39" t="s">
        <v>31</v>
      </c>
      <c r="F39" t="s">
        <v>159</v>
      </c>
      <c r="G39">
        <v>89</v>
      </c>
      <c r="H39" s="10">
        <v>1800</v>
      </c>
      <c r="I39" s="10">
        <v>160200</v>
      </c>
      <c r="J39">
        <v>0</v>
      </c>
      <c r="K39" s="10">
        <v>0</v>
      </c>
      <c r="L39">
        <v>89</v>
      </c>
      <c r="M39" s="10">
        <v>160200</v>
      </c>
      <c r="N39" t="s">
        <v>33</v>
      </c>
    </row>
    <row r="40" spans="1:14" x14ac:dyDescent="0.35">
      <c r="A40" t="s">
        <v>253</v>
      </c>
      <c r="B40" s="9">
        <v>45329</v>
      </c>
      <c r="C40" t="s">
        <v>18</v>
      </c>
      <c r="D40" t="s">
        <v>26</v>
      </c>
      <c r="E40" t="s">
        <v>31</v>
      </c>
      <c r="F40" t="s">
        <v>89</v>
      </c>
      <c r="G40">
        <v>184</v>
      </c>
      <c r="H40" s="10">
        <v>900</v>
      </c>
      <c r="I40" s="10">
        <v>165600</v>
      </c>
      <c r="J40">
        <v>13</v>
      </c>
      <c r="K40" s="10">
        <v>11700</v>
      </c>
      <c r="L40">
        <v>171</v>
      </c>
      <c r="M40" s="10">
        <v>153900</v>
      </c>
      <c r="N40" t="s">
        <v>122</v>
      </c>
    </row>
    <row r="41" spans="1:14" x14ac:dyDescent="0.35">
      <c r="A41" t="s">
        <v>29</v>
      </c>
      <c r="B41" s="9">
        <v>45331</v>
      </c>
      <c r="C41" t="s">
        <v>74</v>
      </c>
      <c r="D41" t="s">
        <v>19</v>
      </c>
      <c r="E41" t="s">
        <v>31</v>
      </c>
      <c r="F41" t="s">
        <v>32</v>
      </c>
      <c r="G41">
        <v>16</v>
      </c>
      <c r="H41" s="10">
        <v>1400</v>
      </c>
      <c r="I41" s="10">
        <v>22400</v>
      </c>
      <c r="J41">
        <v>0</v>
      </c>
      <c r="K41" s="10">
        <v>0</v>
      </c>
      <c r="L41">
        <v>16</v>
      </c>
      <c r="M41" s="10">
        <v>22400</v>
      </c>
      <c r="N41" t="s">
        <v>33</v>
      </c>
    </row>
    <row r="42" spans="1:14" x14ac:dyDescent="0.35">
      <c r="A42" t="s">
        <v>563</v>
      </c>
      <c r="B42" s="9">
        <v>45331</v>
      </c>
      <c r="C42" t="s">
        <v>18</v>
      </c>
      <c r="D42" t="s">
        <v>35</v>
      </c>
      <c r="E42" t="s">
        <v>14</v>
      </c>
      <c r="F42" t="s">
        <v>99</v>
      </c>
      <c r="G42">
        <v>143</v>
      </c>
      <c r="H42" s="10">
        <v>1500</v>
      </c>
      <c r="I42" s="10">
        <v>214500</v>
      </c>
      <c r="J42">
        <v>0</v>
      </c>
      <c r="K42" s="10">
        <v>0</v>
      </c>
      <c r="L42">
        <v>143</v>
      </c>
      <c r="M42" s="10">
        <v>214500</v>
      </c>
      <c r="N42" t="s">
        <v>62</v>
      </c>
    </row>
    <row r="43" spans="1:14" x14ac:dyDescent="0.35">
      <c r="A43" t="s">
        <v>595</v>
      </c>
      <c r="B43" s="9">
        <v>45331</v>
      </c>
      <c r="C43" t="s">
        <v>96</v>
      </c>
      <c r="D43" t="s">
        <v>54</v>
      </c>
      <c r="E43" t="s">
        <v>14</v>
      </c>
      <c r="F43" t="s">
        <v>15</v>
      </c>
      <c r="G43">
        <v>138</v>
      </c>
      <c r="H43" s="10">
        <v>1200</v>
      </c>
      <c r="I43" s="10">
        <v>165600</v>
      </c>
      <c r="J43">
        <v>0</v>
      </c>
      <c r="K43" s="10">
        <v>0</v>
      </c>
      <c r="L43">
        <v>138</v>
      </c>
      <c r="M43" s="10">
        <v>165600</v>
      </c>
      <c r="N43" t="s">
        <v>33</v>
      </c>
    </row>
    <row r="44" spans="1:14" x14ac:dyDescent="0.35">
      <c r="A44" t="s">
        <v>47</v>
      </c>
      <c r="B44" s="9">
        <v>45336</v>
      </c>
      <c r="C44" t="s">
        <v>18</v>
      </c>
      <c r="D44" t="s">
        <v>49</v>
      </c>
      <c r="E44" t="s">
        <v>20</v>
      </c>
      <c r="F44" t="s">
        <v>755</v>
      </c>
      <c r="G44">
        <v>145</v>
      </c>
      <c r="H44" s="10">
        <v>3500</v>
      </c>
      <c r="I44" s="10">
        <v>507500</v>
      </c>
      <c r="J44">
        <v>14</v>
      </c>
      <c r="K44" s="10">
        <v>49000</v>
      </c>
      <c r="L44">
        <v>131</v>
      </c>
      <c r="M44" s="10">
        <v>458500</v>
      </c>
      <c r="N44" t="s">
        <v>33</v>
      </c>
    </row>
    <row r="45" spans="1:14" x14ac:dyDescent="0.35">
      <c r="A45" t="s">
        <v>389</v>
      </c>
      <c r="B45" s="9">
        <v>45337</v>
      </c>
      <c r="C45" t="s">
        <v>18</v>
      </c>
      <c r="D45" t="s">
        <v>49</v>
      </c>
      <c r="E45" t="s">
        <v>14</v>
      </c>
      <c r="F45" t="s">
        <v>27</v>
      </c>
      <c r="G45">
        <v>147</v>
      </c>
      <c r="H45" s="10">
        <v>1600</v>
      </c>
      <c r="I45" s="10">
        <v>235200</v>
      </c>
      <c r="J45">
        <v>0</v>
      </c>
      <c r="K45" s="10">
        <v>0</v>
      </c>
      <c r="L45">
        <v>147</v>
      </c>
      <c r="M45" s="10">
        <v>235200</v>
      </c>
      <c r="N45" t="s">
        <v>62</v>
      </c>
    </row>
    <row r="46" spans="1:14" x14ac:dyDescent="0.35">
      <c r="A46" t="s">
        <v>551</v>
      </c>
      <c r="B46" s="9">
        <v>45337</v>
      </c>
      <c r="C46" t="s">
        <v>74</v>
      </c>
      <c r="D46" t="s">
        <v>35</v>
      </c>
      <c r="E46" t="s">
        <v>20</v>
      </c>
      <c r="F46" t="s">
        <v>133</v>
      </c>
      <c r="G46">
        <v>17</v>
      </c>
      <c r="H46" s="10">
        <v>1200</v>
      </c>
      <c r="I46" s="10">
        <v>20400</v>
      </c>
      <c r="J46">
        <v>0</v>
      </c>
      <c r="K46" s="10">
        <v>0</v>
      </c>
      <c r="L46">
        <v>17</v>
      </c>
      <c r="M46" s="10">
        <v>20400</v>
      </c>
      <c r="N46" t="s">
        <v>753</v>
      </c>
    </row>
    <row r="47" spans="1:14" x14ac:dyDescent="0.35">
      <c r="A47" t="s">
        <v>662</v>
      </c>
      <c r="B47" s="9">
        <v>45339</v>
      </c>
      <c r="C47" t="s">
        <v>44</v>
      </c>
      <c r="D47" t="s">
        <v>79</v>
      </c>
      <c r="E47" t="s">
        <v>20</v>
      </c>
      <c r="F47" t="s">
        <v>133</v>
      </c>
      <c r="G47">
        <v>53</v>
      </c>
      <c r="H47" s="10">
        <v>1200</v>
      </c>
      <c r="I47" s="10">
        <v>63600</v>
      </c>
      <c r="J47">
        <v>2</v>
      </c>
      <c r="K47" s="10">
        <v>2400</v>
      </c>
      <c r="L47">
        <v>51</v>
      </c>
      <c r="M47" s="10">
        <v>61200</v>
      </c>
      <c r="N47" t="s">
        <v>33</v>
      </c>
    </row>
    <row r="48" spans="1:14" x14ac:dyDescent="0.35">
      <c r="A48" t="s">
        <v>175</v>
      </c>
      <c r="B48" s="9">
        <v>45340</v>
      </c>
      <c r="C48" t="s">
        <v>96</v>
      </c>
      <c r="D48" t="s">
        <v>26</v>
      </c>
      <c r="E48" t="s">
        <v>14</v>
      </c>
      <c r="F48" t="s">
        <v>754</v>
      </c>
      <c r="G48">
        <v>172</v>
      </c>
      <c r="H48" s="10">
        <v>700</v>
      </c>
      <c r="I48" s="10">
        <v>120400</v>
      </c>
      <c r="J48">
        <v>7</v>
      </c>
      <c r="K48" s="10">
        <v>4900</v>
      </c>
      <c r="L48">
        <v>165</v>
      </c>
      <c r="M48" s="10">
        <v>115500</v>
      </c>
      <c r="N48" t="s">
        <v>122</v>
      </c>
    </row>
    <row r="49" spans="1:14" x14ac:dyDescent="0.35">
      <c r="A49" t="s">
        <v>284</v>
      </c>
      <c r="B49" s="9">
        <v>45340</v>
      </c>
      <c r="C49" t="s">
        <v>96</v>
      </c>
      <c r="D49" t="s">
        <v>54</v>
      </c>
      <c r="E49" t="s">
        <v>31</v>
      </c>
      <c r="F49" t="s">
        <v>55</v>
      </c>
      <c r="G49">
        <v>98</v>
      </c>
      <c r="H49" s="10">
        <v>1100</v>
      </c>
      <c r="I49" s="10">
        <v>107800</v>
      </c>
      <c r="J49">
        <v>9</v>
      </c>
      <c r="K49" s="10">
        <v>9900</v>
      </c>
      <c r="L49">
        <v>89</v>
      </c>
      <c r="M49" s="10">
        <v>97900</v>
      </c>
      <c r="N49" t="s">
        <v>122</v>
      </c>
    </row>
    <row r="50" spans="1:14" x14ac:dyDescent="0.35">
      <c r="A50" t="s">
        <v>571</v>
      </c>
      <c r="B50" s="9">
        <v>45340</v>
      </c>
      <c r="C50" t="s">
        <v>96</v>
      </c>
      <c r="D50" t="s">
        <v>65</v>
      </c>
      <c r="E50" t="s">
        <v>20</v>
      </c>
      <c r="F50" t="s">
        <v>153</v>
      </c>
      <c r="G50">
        <v>20</v>
      </c>
      <c r="H50" s="10">
        <v>2800</v>
      </c>
      <c r="I50" s="10">
        <v>56000</v>
      </c>
      <c r="J50">
        <v>0</v>
      </c>
      <c r="K50" s="10">
        <v>0</v>
      </c>
      <c r="L50">
        <v>20</v>
      </c>
      <c r="M50" s="10">
        <v>56000</v>
      </c>
      <c r="N50" t="s">
        <v>62</v>
      </c>
    </row>
    <row r="51" spans="1:14" x14ac:dyDescent="0.35">
      <c r="A51" t="s">
        <v>134</v>
      </c>
      <c r="B51" s="9">
        <v>45341</v>
      </c>
      <c r="C51" t="s">
        <v>51</v>
      </c>
      <c r="D51" t="s">
        <v>54</v>
      </c>
      <c r="E51" t="s">
        <v>14</v>
      </c>
      <c r="F51" t="s">
        <v>70</v>
      </c>
      <c r="G51">
        <v>99</v>
      </c>
      <c r="H51" s="10">
        <v>1800</v>
      </c>
      <c r="I51" s="10">
        <v>178200</v>
      </c>
      <c r="J51">
        <v>2</v>
      </c>
      <c r="K51" s="10">
        <v>3600</v>
      </c>
      <c r="L51">
        <v>97</v>
      </c>
      <c r="M51" s="10">
        <v>174600</v>
      </c>
      <c r="N51" t="s">
        <v>122</v>
      </c>
    </row>
    <row r="52" spans="1:14" x14ac:dyDescent="0.35">
      <c r="A52" t="s">
        <v>400</v>
      </c>
      <c r="B52" s="9">
        <v>45341</v>
      </c>
      <c r="C52" t="s">
        <v>96</v>
      </c>
      <c r="D52" t="s">
        <v>41</v>
      </c>
      <c r="E52" t="s">
        <v>14</v>
      </c>
      <c r="F52" t="s">
        <v>754</v>
      </c>
      <c r="G52">
        <v>16</v>
      </c>
      <c r="H52" s="10">
        <v>700</v>
      </c>
      <c r="I52" s="10">
        <v>11200</v>
      </c>
      <c r="J52">
        <v>1</v>
      </c>
      <c r="K52" s="10">
        <v>700</v>
      </c>
      <c r="L52">
        <v>15</v>
      </c>
      <c r="M52" s="10">
        <v>10500</v>
      </c>
      <c r="N52" t="s">
        <v>122</v>
      </c>
    </row>
    <row r="53" spans="1:14" x14ac:dyDescent="0.35">
      <c r="A53" t="s">
        <v>569</v>
      </c>
      <c r="B53" s="9">
        <v>45341</v>
      </c>
      <c r="C53" t="s">
        <v>25</v>
      </c>
      <c r="D53" t="s">
        <v>49</v>
      </c>
      <c r="E53" t="s">
        <v>31</v>
      </c>
      <c r="F53" t="s">
        <v>55</v>
      </c>
      <c r="G53">
        <v>16</v>
      </c>
      <c r="H53" s="10">
        <v>1100</v>
      </c>
      <c r="I53" s="10">
        <v>17600</v>
      </c>
      <c r="J53">
        <v>0</v>
      </c>
      <c r="K53" s="10">
        <v>0</v>
      </c>
      <c r="L53">
        <v>16</v>
      </c>
      <c r="M53" s="10">
        <v>17600</v>
      </c>
      <c r="N53" t="s">
        <v>62</v>
      </c>
    </row>
    <row r="54" spans="1:14" x14ac:dyDescent="0.35">
      <c r="A54" t="s">
        <v>75</v>
      </c>
      <c r="B54" s="9">
        <v>45343</v>
      </c>
      <c r="C54" t="s">
        <v>25</v>
      </c>
      <c r="D54" t="s">
        <v>65</v>
      </c>
      <c r="E54" t="s">
        <v>20</v>
      </c>
      <c r="F54" t="s">
        <v>36</v>
      </c>
      <c r="G54">
        <v>8</v>
      </c>
      <c r="H54" s="10">
        <v>900</v>
      </c>
      <c r="I54" s="10">
        <v>7200</v>
      </c>
      <c r="J54">
        <v>0</v>
      </c>
      <c r="K54" s="10">
        <v>0</v>
      </c>
      <c r="L54">
        <v>8</v>
      </c>
      <c r="M54" s="10">
        <v>7200</v>
      </c>
      <c r="N54" t="s">
        <v>122</v>
      </c>
    </row>
    <row r="55" spans="1:14" x14ac:dyDescent="0.35">
      <c r="A55" t="s">
        <v>164</v>
      </c>
      <c r="B55" s="9">
        <v>45343</v>
      </c>
      <c r="C55" t="s">
        <v>44</v>
      </c>
      <c r="D55" t="s">
        <v>41</v>
      </c>
      <c r="E55" t="s">
        <v>20</v>
      </c>
      <c r="F55" t="s">
        <v>36</v>
      </c>
      <c r="G55">
        <v>94</v>
      </c>
      <c r="H55" s="10">
        <v>900</v>
      </c>
      <c r="I55" s="10">
        <v>84600</v>
      </c>
      <c r="J55">
        <v>0</v>
      </c>
      <c r="K55" s="10">
        <v>0</v>
      </c>
      <c r="L55">
        <v>94</v>
      </c>
      <c r="M55" s="10">
        <v>84600</v>
      </c>
      <c r="N55" t="s">
        <v>33</v>
      </c>
    </row>
    <row r="56" spans="1:14" x14ac:dyDescent="0.35">
      <c r="A56" t="s">
        <v>215</v>
      </c>
      <c r="B56" s="9">
        <v>45343</v>
      </c>
      <c r="C56" t="s">
        <v>51</v>
      </c>
      <c r="D56" t="s">
        <v>93</v>
      </c>
      <c r="E56" t="s">
        <v>31</v>
      </c>
      <c r="F56" t="s">
        <v>121</v>
      </c>
      <c r="G56">
        <v>163</v>
      </c>
      <c r="H56" s="10">
        <v>200</v>
      </c>
      <c r="I56" s="10">
        <v>32600</v>
      </c>
      <c r="J56">
        <v>5</v>
      </c>
      <c r="K56" s="10">
        <v>1000</v>
      </c>
      <c r="L56">
        <v>158</v>
      </c>
      <c r="M56" s="10">
        <v>31600</v>
      </c>
      <c r="N56" t="s">
        <v>122</v>
      </c>
    </row>
    <row r="57" spans="1:14" x14ac:dyDescent="0.35">
      <c r="A57" t="s">
        <v>102</v>
      </c>
      <c r="B57" s="9">
        <v>45344</v>
      </c>
      <c r="C57" t="s">
        <v>44</v>
      </c>
      <c r="D57" t="s">
        <v>93</v>
      </c>
      <c r="E57" t="s">
        <v>20</v>
      </c>
      <c r="F57" t="s">
        <v>755</v>
      </c>
      <c r="G57">
        <v>28</v>
      </c>
      <c r="H57" s="10">
        <v>3500</v>
      </c>
      <c r="I57" s="10">
        <v>98000</v>
      </c>
      <c r="J57">
        <v>2</v>
      </c>
      <c r="K57" s="10">
        <v>7000</v>
      </c>
      <c r="L57">
        <v>26</v>
      </c>
      <c r="M57" s="10">
        <v>91000</v>
      </c>
      <c r="N57" t="s">
        <v>62</v>
      </c>
    </row>
    <row r="58" spans="1:14" x14ac:dyDescent="0.35">
      <c r="A58" t="s">
        <v>460</v>
      </c>
      <c r="B58" s="9">
        <v>45344</v>
      </c>
      <c r="C58" t="s">
        <v>18</v>
      </c>
      <c r="D58" t="s">
        <v>35</v>
      </c>
      <c r="E58" t="s">
        <v>14</v>
      </c>
      <c r="F58" t="s">
        <v>15</v>
      </c>
      <c r="G58">
        <v>188</v>
      </c>
      <c r="H58" s="10">
        <v>1200</v>
      </c>
      <c r="I58" s="10">
        <v>225600</v>
      </c>
      <c r="J58">
        <v>0</v>
      </c>
      <c r="K58" s="10">
        <v>0</v>
      </c>
      <c r="L58">
        <v>188</v>
      </c>
      <c r="M58" s="10">
        <v>225600</v>
      </c>
      <c r="N58" t="s">
        <v>62</v>
      </c>
    </row>
    <row r="59" spans="1:14" x14ac:dyDescent="0.35">
      <c r="A59" t="s">
        <v>713</v>
      </c>
      <c r="B59" s="9">
        <v>45344</v>
      </c>
      <c r="C59" t="s">
        <v>96</v>
      </c>
      <c r="D59" t="s">
        <v>93</v>
      </c>
      <c r="E59" t="s">
        <v>14</v>
      </c>
      <c r="F59" t="s">
        <v>99</v>
      </c>
      <c r="G59">
        <v>41</v>
      </c>
      <c r="H59" s="10">
        <v>1500</v>
      </c>
      <c r="I59" s="10">
        <v>61500</v>
      </c>
      <c r="J59">
        <v>0</v>
      </c>
      <c r="K59" s="10">
        <v>0</v>
      </c>
      <c r="L59">
        <v>41</v>
      </c>
      <c r="M59" s="10">
        <v>61500</v>
      </c>
      <c r="N59" t="s">
        <v>62</v>
      </c>
    </row>
    <row r="60" spans="1:14" x14ac:dyDescent="0.35">
      <c r="A60" t="s">
        <v>269</v>
      </c>
      <c r="B60" s="9">
        <v>45345</v>
      </c>
      <c r="C60" t="s">
        <v>18</v>
      </c>
      <c r="D60" t="s">
        <v>19</v>
      </c>
      <c r="E60" t="s">
        <v>14</v>
      </c>
      <c r="F60" t="s">
        <v>27</v>
      </c>
      <c r="G60">
        <v>41</v>
      </c>
      <c r="H60" s="10">
        <v>1600</v>
      </c>
      <c r="I60" s="10">
        <v>65600</v>
      </c>
      <c r="J60">
        <v>4</v>
      </c>
      <c r="K60" s="10">
        <v>6400</v>
      </c>
      <c r="L60">
        <v>37</v>
      </c>
      <c r="M60" s="10">
        <v>59200</v>
      </c>
      <c r="N60" t="s">
        <v>122</v>
      </c>
    </row>
    <row r="61" spans="1:14" x14ac:dyDescent="0.35">
      <c r="A61" t="s">
        <v>190</v>
      </c>
      <c r="B61" s="9">
        <v>45346</v>
      </c>
      <c r="C61" t="s">
        <v>44</v>
      </c>
      <c r="D61" t="s">
        <v>35</v>
      </c>
      <c r="E61" t="s">
        <v>20</v>
      </c>
      <c r="F61" t="s">
        <v>97</v>
      </c>
      <c r="G61">
        <v>110</v>
      </c>
      <c r="H61" s="10">
        <v>500</v>
      </c>
      <c r="I61" s="10">
        <v>55000</v>
      </c>
      <c r="J61">
        <v>2</v>
      </c>
      <c r="K61" s="10">
        <v>1000</v>
      </c>
      <c r="L61">
        <v>108</v>
      </c>
      <c r="M61" s="10">
        <v>54000</v>
      </c>
      <c r="N61" t="s">
        <v>62</v>
      </c>
    </row>
    <row r="62" spans="1:14" x14ac:dyDescent="0.35">
      <c r="A62" t="s">
        <v>397</v>
      </c>
      <c r="B62" s="9">
        <v>45346</v>
      </c>
      <c r="C62" t="s">
        <v>18</v>
      </c>
      <c r="D62" t="s">
        <v>54</v>
      </c>
      <c r="E62" t="s">
        <v>20</v>
      </c>
      <c r="F62" t="s">
        <v>153</v>
      </c>
      <c r="G62">
        <v>123</v>
      </c>
      <c r="H62" s="10">
        <v>2800</v>
      </c>
      <c r="I62" s="10">
        <v>344400</v>
      </c>
      <c r="J62">
        <v>12</v>
      </c>
      <c r="K62" s="10">
        <v>33600</v>
      </c>
      <c r="L62">
        <v>111</v>
      </c>
      <c r="M62" s="10">
        <v>310800</v>
      </c>
      <c r="N62" t="s">
        <v>122</v>
      </c>
    </row>
    <row r="63" spans="1:14" x14ac:dyDescent="0.35">
      <c r="A63" t="s">
        <v>385</v>
      </c>
      <c r="B63" s="9">
        <v>45347</v>
      </c>
      <c r="C63" t="s">
        <v>51</v>
      </c>
      <c r="D63" t="s">
        <v>13</v>
      </c>
      <c r="E63" t="s">
        <v>753</v>
      </c>
      <c r="F63" t="s">
        <v>159</v>
      </c>
      <c r="G63">
        <v>176</v>
      </c>
      <c r="H63" s="10">
        <v>1800</v>
      </c>
      <c r="I63" s="10">
        <v>316800</v>
      </c>
      <c r="J63">
        <v>0</v>
      </c>
      <c r="K63" s="10">
        <v>0</v>
      </c>
      <c r="L63">
        <v>176</v>
      </c>
      <c r="M63" s="10">
        <v>316800</v>
      </c>
      <c r="N63" t="s">
        <v>62</v>
      </c>
    </row>
    <row r="64" spans="1:14" x14ac:dyDescent="0.35">
      <c r="A64" t="s">
        <v>495</v>
      </c>
      <c r="B64" s="9">
        <v>45350</v>
      </c>
      <c r="C64" t="s">
        <v>18</v>
      </c>
      <c r="D64" t="s">
        <v>54</v>
      </c>
      <c r="E64" t="s">
        <v>20</v>
      </c>
      <c r="F64" t="s">
        <v>36</v>
      </c>
      <c r="G64">
        <v>181</v>
      </c>
      <c r="H64" s="10">
        <v>900</v>
      </c>
      <c r="I64" s="10">
        <v>162900</v>
      </c>
      <c r="J64">
        <v>0</v>
      </c>
      <c r="K64" s="10">
        <v>0</v>
      </c>
      <c r="L64">
        <v>181</v>
      </c>
      <c r="M64" s="10">
        <v>162900</v>
      </c>
      <c r="N64" t="s">
        <v>122</v>
      </c>
    </row>
    <row r="65" spans="1:14" x14ac:dyDescent="0.35">
      <c r="A65" t="s">
        <v>167</v>
      </c>
      <c r="B65" s="9">
        <v>45351</v>
      </c>
      <c r="C65" t="s">
        <v>25</v>
      </c>
      <c r="D65" t="s">
        <v>19</v>
      </c>
      <c r="E65" t="s">
        <v>753</v>
      </c>
      <c r="F65" t="s">
        <v>99</v>
      </c>
      <c r="G65">
        <v>126</v>
      </c>
      <c r="H65" s="10">
        <v>1500</v>
      </c>
      <c r="I65" s="10">
        <v>189000</v>
      </c>
      <c r="J65">
        <v>11</v>
      </c>
      <c r="K65" s="10">
        <v>16500</v>
      </c>
      <c r="L65">
        <v>115</v>
      </c>
      <c r="M65" s="10">
        <v>172500</v>
      </c>
      <c r="N65" t="s">
        <v>122</v>
      </c>
    </row>
    <row r="66" spans="1:14" x14ac:dyDescent="0.35">
      <c r="A66" t="s">
        <v>295</v>
      </c>
      <c r="B66" s="9">
        <v>45351</v>
      </c>
      <c r="C66" t="s">
        <v>96</v>
      </c>
      <c r="D66" t="s">
        <v>79</v>
      </c>
      <c r="E66" t="s">
        <v>14</v>
      </c>
      <c r="F66" t="s">
        <v>72</v>
      </c>
      <c r="G66">
        <v>72</v>
      </c>
      <c r="H66" s="10">
        <v>400</v>
      </c>
      <c r="I66" s="10">
        <v>28800</v>
      </c>
      <c r="J66">
        <v>5</v>
      </c>
      <c r="K66" s="10">
        <v>2000</v>
      </c>
      <c r="L66">
        <v>67</v>
      </c>
      <c r="M66" s="10">
        <v>26800</v>
      </c>
      <c r="N66" t="s">
        <v>33</v>
      </c>
    </row>
    <row r="67" spans="1:14" x14ac:dyDescent="0.35">
      <c r="A67" t="s">
        <v>378</v>
      </c>
      <c r="B67" s="9">
        <v>45351</v>
      </c>
      <c r="C67" t="s">
        <v>18</v>
      </c>
      <c r="D67" t="s">
        <v>54</v>
      </c>
      <c r="E67" t="s">
        <v>20</v>
      </c>
      <c r="F67" t="s">
        <v>97</v>
      </c>
      <c r="G67">
        <v>14</v>
      </c>
      <c r="H67" s="10">
        <v>500</v>
      </c>
      <c r="I67" s="10">
        <v>7000</v>
      </c>
      <c r="J67">
        <v>0</v>
      </c>
      <c r="K67" s="10">
        <v>0</v>
      </c>
      <c r="L67">
        <v>14</v>
      </c>
      <c r="M67" s="10">
        <v>7000</v>
      </c>
      <c r="N67" t="s">
        <v>122</v>
      </c>
    </row>
    <row r="68" spans="1:14" x14ac:dyDescent="0.35">
      <c r="A68" t="s">
        <v>268</v>
      </c>
      <c r="B68" s="9">
        <v>45354</v>
      </c>
      <c r="C68" t="s">
        <v>51</v>
      </c>
      <c r="D68" t="s">
        <v>13</v>
      </c>
      <c r="E68" t="s">
        <v>20</v>
      </c>
      <c r="F68" t="s">
        <v>153</v>
      </c>
      <c r="G68">
        <v>171</v>
      </c>
      <c r="H68" s="10">
        <v>2800</v>
      </c>
      <c r="I68" s="10">
        <v>478800</v>
      </c>
      <c r="J68">
        <v>16</v>
      </c>
      <c r="K68" s="10">
        <v>44800</v>
      </c>
      <c r="L68">
        <v>155</v>
      </c>
      <c r="M68" s="10">
        <v>434000</v>
      </c>
      <c r="N68" t="s">
        <v>122</v>
      </c>
    </row>
    <row r="69" spans="1:14" x14ac:dyDescent="0.35">
      <c r="A69" t="s">
        <v>301</v>
      </c>
      <c r="B69" s="9">
        <v>45354</v>
      </c>
      <c r="C69" t="s">
        <v>96</v>
      </c>
      <c r="D69" t="s">
        <v>49</v>
      </c>
      <c r="E69" t="s">
        <v>20</v>
      </c>
      <c r="F69" t="s">
        <v>97</v>
      </c>
      <c r="G69">
        <v>107</v>
      </c>
      <c r="H69" s="10">
        <v>500</v>
      </c>
      <c r="I69" s="10">
        <v>53500</v>
      </c>
      <c r="J69">
        <v>5</v>
      </c>
      <c r="K69" s="10">
        <v>2500</v>
      </c>
      <c r="L69">
        <v>102</v>
      </c>
      <c r="M69" s="10">
        <v>51000</v>
      </c>
      <c r="N69" t="s">
        <v>33</v>
      </c>
    </row>
    <row r="70" spans="1:14" x14ac:dyDescent="0.35">
      <c r="A70" t="s">
        <v>694</v>
      </c>
      <c r="B70" s="9">
        <v>45354</v>
      </c>
      <c r="C70" t="s">
        <v>18</v>
      </c>
      <c r="D70" t="s">
        <v>49</v>
      </c>
      <c r="E70" t="s">
        <v>20</v>
      </c>
      <c r="F70" t="s">
        <v>36</v>
      </c>
      <c r="G70">
        <v>139</v>
      </c>
      <c r="H70" s="10">
        <v>900</v>
      </c>
      <c r="I70" s="10">
        <v>125100</v>
      </c>
      <c r="J70">
        <v>8</v>
      </c>
      <c r="K70" s="10">
        <v>7200</v>
      </c>
      <c r="L70">
        <v>131</v>
      </c>
      <c r="M70" s="10">
        <v>117900</v>
      </c>
      <c r="N70" t="s">
        <v>33</v>
      </c>
    </row>
    <row r="71" spans="1:14" x14ac:dyDescent="0.35">
      <c r="A71" t="s">
        <v>353</v>
      </c>
      <c r="B71" s="9">
        <v>45356</v>
      </c>
      <c r="C71" t="s">
        <v>18</v>
      </c>
      <c r="D71" t="s">
        <v>54</v>
      </c>
      <c r="E71" t="s">
        <v>14</v>
      </c>
      <c r="F71" t="s">
        <v>27</v>
      </c>
      <c r="G71">
        <v>148</v>
      </c>
      <c r="H71" s="10">
        <v>1600</v>
      </c>
      <c r="I71" s="10">
        <v>236800</v>
      </c>
      <c r="J71">
        <v>4</v>
      </c>
      <c r="K71" s="10">
        <v>6400</v>
      </c>
      <c r="L71">
        <v>144</v>
      </c>
      <c r="M71" s="10">
        <v>230400</v>
      </c>
      <c r="N71" t="s">
        <v>62</v>
      </c>
    </row>
    <row r="72" spans="1:14" x14ac:dyDescent="0.35">
      <c r="A72" t="s">
        <v>53</v>
      </c>
      <c r="B72" s="9">
        <v>45358</v>
      </c>
      <c r="C72" t="s">
        <v>44</v>
      </c>
      <c r="D72" t="s">
        <v>54</v>
      </c>
      <c r="E72" t="s">
        <v>31</v>
      </c>
      <c r="F72" t="s">
        <v>55</v>
      </c>
      <c r="G72">
        <v>107</v>
      </c>
      <c r="H72" s="10">
        <v>1100</v>
      </c>
      <c r="I72" s="10">
        <v>117700</v>
      </c>
      <c r="J72">
        <v>1</v>
      </c>
      <c r="K72" s="10">
        <v>1100</v>
      </c>
      <c r="L72">
        <v>106</v>
      </c>
      <c r="M72" s="10">
        <v>116600</v>
      </c>
      <c r="N72" t="s">
        <v>33</v>
      </c>
    </row>
    <row r="73" spans="1:14" x14ac:dyDescent="0.35">
      <c r="A73" t="s">
        <v>273</v>
      </c>
      <c r="B73" s="9">
        <v>45358</v>
      </c>
      <c r="C73" t="s">
        <v>74</v>
      </c>
      <c r="D73" t="s">
        <v>35</v>
      </c>
      <c r="E73" t="s">
        <v>20</v>
      </c>
      <c r="F73" t="s">
        <v>133</v>
      </c>
      <c r="G73">
        <v>39</v>
      </c>
      <c r="H73" s="10">
        <v>1200</v>
      </c>
      <c r="I73" s="10">
        <v>46800</v>
      </c>
      <c r="J73">
        <v>0</v>
      </c>
      <c r="K73" s="10">
        <v>0</v>
      </c>
      <c r="L73">
        <v>39</v>
      </c>
      <c r="M73" s="10">
        <v>46800</v>
      </c>
      <c r="N73" t="s">
        <v>122</v>
      </c>
    </row>
    <row r="74" spans="1:14" x14ac:dyDescent="0.35">
      <c r="A74" t="s">
        <v>625</v>
      </c>
      <c r="B74" s="9">
        <v>45358</v>
      </c>
      <c r="C74" t="s">
        <v>74</v>
      </c>
      <c r="D74" t="s">
        <v>19</v>
      </c>
      <c r="E74" t="s">
        <v>14</v>
      </c>
      <c r="F74" t="s">
        <v>27</v>
      </c>
      <c r="G74">
        <v>28</v>
      </c>
      <c r="H74" s="10">
        <v>1600</v>
      </c>
      <c r="I74" s="10">
        <v>44800</v>
      </c>
      <c r="J74">
        <v>1</v>
      </c>
      <c r="K74" s="10">
        <v>1600</v>
      </c>
      <c r="L74">
        <v>27</v>
      </c>
      <c r="M74" s="10">
        <v>43200</v>
      </c>
      <c r="N74" t="s">
        <v>122</v>
      </c>
    </row>
    <row r="75" spans="1:14" x14ac:dyDescent="0.35">
      <c r="A75" t="s">
        <v>43</v>
      </c>
      <c r="B75" s="9">
        <v>45359</v>
      </c>
      <c r="C75" t="s">
        <v>44</v>
      </c>
      <c r="D75" t="s">
        <v>35</v>
      </c>
      <c r="E75" t="s">
        <v>31</v>
      </c>
      <c r="F75" t="s">
        <v>45</v>
      </c>
      <c r="G75">
        <v>10</v>
      </c>
      <c r="H75" s="10">
        <v>1200</v>
      </c>
      <c r="I75" s="10">
        <v>12000</v>
      </c>
      <c r="J75">
        <v>1</v>
      </c>
      <c r="K75" s="10">
        <v>1200</v>
      </c>
      <c r="L75">
        <v>9</v>
      </c>
      <c r="M75" s="10">
        <v>10800</v>
      </c>
      <c r="N75" t="s">
        <v>122</v>
      </c>
    </row>
    <row r="76" spans="1:14" x14ac:dyDescent="0.35">
      <c r="A76" t="s">
        <v>276</v>
      </c>
      <c r="B76" s="9">
        <v>45359</v>
      </c>
      <c r="C76" t="s">
        <v>44</v>
      </c>
      <c r="D76" t="s">
        <v>79</v>
      </c>
      <c r="E76" t="s">
        <v>31</v>
      </c>
      <c r="F76" t="s">
        <v>159</v>
      </c>
      <c r="G76">
        <v>94</v>
      </c>
      <c r="H76" s="10">
        <v>1800</v>
      </c>
      <c r="I76" s="10">
        <v>169200</v>
      </c>
      <c r="J76">
        <v>0</v>
      </c>
      <c r="K76" s="10">
        <v>0</v>
      </c>
      <c r="L76">
        <v>94</v>
      </c>
      <c r="M76" s="10">
        <v>169200</v>
      </c>
      <c r="N76" t="s">
        <v>753</v>
      </c>
    </row>
    <row r="77" spans="1:14" x14ac:dyDescent="0.35">
      <c r="A77" t="s">
        <v>248</v>
      </c>
      <c r="B77" s="9">
        <v>45360</v>
      </c>
      <c r="C77" t="s">
        <v>18</v>
      </c>
      <c r="D77" t="s">
        <v>13</v>
      </c>
      <c r="E77" t="s">
        <v>20</v>
      </c>
      <c r="F77" t="s">
        <v>153</v>
      </c>
      <c r="G77">
        <v>115</v>
      </c>
      <c r="H77" s="10">
        <v>2800</v>
      </c>
      <c r="I77" s="10">
        <v>322000</v>
      </c>
      <c r="J77">
        <v>3</v>
      </c>
      <c r="K77" s="10">
        <v>8400</v>
      </c>
      <c r="L77">
        <v>112</v>
      </c>
      <c r="M77" s="10">
        <v>313600</v>
      </c>
      <c r="N77" t="s">
        <v>33</v>
      </c>
    </row>
    <row r="78" spans="1:14" x14ac:dyDescent="0.35">
      <c r="A78" t="s">
        <v>305</v>
      </c>
      <c r="B78" s="9">
        <v>45360</v>
      </c>
      <c r="C78" t="s">
        <v>51</v>
      </c>
      <c r="D78" t="s">
        <v>79</v>
      </c>
      <c r="E78" t="s">
        <v>14</v>
      </c>
      <c r="F78" t="s">
        <v>754</v>
      </c>
      <c r="G78">
        <v>101</v>
      </c>
      <c r="H78" s="10">
        <v>700</v>
      </c>
      <c r="I78" s="10">
        <v>70700</v>
      </c>
      <c r="J78">
        <v>8</v>
      </c>
      <c r="K78" s="10">
        <v>5600</v>
      </c>
      <c r="L78">
        <v>93</v>
      </c>
      <c r="M78" s="10">
        <v>65100</v>
      </c>
      <c r="N78" t="s">
        <v>122</v>
      </c>
    </row>
    <row r="79" spans="1:14" x14ac:dyDescent="0.35">
      <c r="A79" t="s">
        <v>481</v>
      </c>
      <c r="B79" s="9">
        <v>45362</v>
      </c>
      <c r="C79" t="s">
        <v>51</v>
      </c>
      <c r="D79" t="s">
        <v>93</v>
      </c>
      <c r="E79" t="s">
        <v>31</v>
      </c>
      <c r="F79" t="s">
        <v>45</v>
      </c>
      <c r="G79">
        <v>128</v>
      </c>
      <c r="H79" s="10">
        <v>1200</v>
      </c>
      <c r="I79" s="10">
        <v>153600</v>
      </c>
      <c r="J79">
        <v>0</v>
      </c>
      <c r="K79" s="10">
        <v>0</v>
      </c>
      <c r="L79">
        <v>128</v>
      </c>
      <c r="M79" s="10">
        <v>153600</v>
      </c>
      <c r="N79" t="s">
        <v>122</v>
      </c>
    </row>
    <row r="80" spans="1:14" x14ac:dyDescent="0.35">
      <c r="A80" t="s">
        <v>128</v>
      </c>
      <c r="B80" s="9">
        <v>45363</v>
      </c>
      <c r="C80" t="s">
        <v>74</v>
      </c>
      <c r="D80" t="s">
        <v>35</v>
      </c>
      <c r="E80" t="s">
        <v>20</v>
      </c>
      <c r="F80" t="s">
        <v>52</v>
      </c>
      <c r="G80">
        <v>24</v>
      </c>
      <c r="H80" s="10">
        <v>450</v>
      </c>
      <c r="I80" s="10">
        <v>10800</v>
      </c>
      <c r="J80">
        <v>2</v>
      </c>
      <c r="K80" s="10">
        <v>900</v>
      </c>
      <c r="L80">
        <v>22</v>
      </c>
      <c r="M80" s="10">
        <v>9900</v>
      </c>
      <c r="N80" t="s">
        <v>122</v>
      </c>
    </row>
    <row r="81" spans="1:14" x14ac:dyDescent="0.35">
      <c r="A81" t="s">
        <v>157</v>
      </c>
      <c r="B81" s="9">
        <v>45363</v>
      </c>
      <c r="C81" t="s">
        <v>74</v>
      </c>
      <c r="D81" t="s">
        <v>65</v>
      </c>
      <c r="E81" t="s">
        <v>20</v>
      </c>
      <c r="F81" t="s">
        <v>52</v>
      </c>
      <c r="G81">
        <v>15</v>
      </c>
      <c r="H81" s="10">
        <v>450</v>
      </c>
      <c r="I81" s="10">
        <v>6750</v>
      </c>
      <c r="J81">
        <v>0</v>
      </c>
      <c r="K81" s="10">
        <v>0</v>
      </c>
      <c r="L81">
        <v>15</v>
      </c>
      <c r="M81" s="10">
        <v>6750</v>
      </c>
      <c r="N81" t="s">
        <v>62</v>
      </c>
    </row>
    <row r="82" spans="1:14" x14ac:dyDescent="0.35">
      <c r="A82" t="s">
        <v>172</v>
      </c>
      <c r="B82" s="9">
        <v>45363</v>
      </c>
      <c r="C82" t="s">
        <v>25</v>
      </c>
      <c r="D82" t="s">
        <v>26</v>
      </c>
      <c r="E82" t="s">
        <v>31</v>
      </c>
      <c r="F82" t="s">
        <v>58</v>
      </c>
      <c r="G82">
        <v>107</v>
      </c>
      <c r="H82" s="10">
        <v>850</v>
      </c>
      <c r="I82" s="10">
        <v>90950</v>
      </c>
      <c r="J82">
        <v>1</v>
      </c>
      <c r="K82" s="10">
        <v>850</v>
      </c>
      <c r="L82">
        <v>106</v>
      </c>
      <c r="M82" s="10">
        <v>90100</v>
      </c>
      <c r="N82" t="s">
        <v>62</v>
      </c>
    </row>
    <row r="83" spans="1:14" x14ac:dyDescent="0.35">
      <c r="A83" t="s">
        <v>200</v>
      </c>
      <c r="B83" s="9">
        <v>45364</v>
      </c>
      <c r="C83" t="s">
        <v>44</v>
      </c>
      <c r="D83" t="s">
        <v>65</v>
      </c>
      <c r="E83" t="s">
        <v>20</v>
      </c>
      <c r="F83" t="s">
        <v>153</v>
      </c>
      <c r="G83">
        <v>60</v>
      </c>
      <c r="H83" s="10">
        <v>2800</v>
      </c>
      <c r="I83" s="10">
        <v>168000</v>
      </c>
      <c r="J83">
        <v>2</v>
      </c>
      <c r="K83" s="10">
        <v>5600</v>
      </c>
      <c r="L83">
        <v>58</v>
      </c>
      <c r="M83" s="10">
        <v>162400</v>
      </c>
      <c r="N83" t="s">
        <v>122</v>
      </c>
    </row>
    <row r="84" spans="1:14" x14ac:dyDescent="0.35">
      <c r="A84" t="s">
        <v>123</v>
      </c>
      <c r="B84" s="9">
        <v>45365</v>
      </c>
      <c r="C84" t="s">
        <v>44</v>
      </c>
      <c r="D84" t="s">
        <v>41</v>
      </c>
      <c r="E84" t="s">
        <v>14</v>
      </c>
      <c r="F84" t="s">
        <v>61</v>
      </c>
      <c r="G84">
        <v>151</v>
      </c>
      <c r="H84" s="10">
        <v>2200</v>
      </c>
      <c r="I84" s="10">
        <v>332200</v>
      </c>
      <c r="J84">
        <v>2</v>
      </c>
      <c r="K84" s="10">
        <v>4400</v>
      </c>
      <c r="L84">
        <v>149</v>
      </c>
      <c r="M84" s="10">
        <v>327800</v>
      </c>
      <c r="N84" t="s">
        <v>122</v>
      </c>
    </row>
    <row r="85" spans="1:14" x14ac:dyDescent="0.35">
      <c r="A85" t="s">
        <v>148</v>
      </c>
      <c r="B85" s="9">
        <v>45366</v>
      </c>
      <c r="C85" t="s">
        <v>18</v>
      </c>
      <c r="D85" t="s">
        <v>54</v>
      </c>
      <c r="E85" t="s">
        <v>31</v>
      </c>
      <c r="F85" t="s">
        <v>121</v>
      </c>
      <c r="G85">
        <v>170</v>
      </c>
      <c r="H85" s="10">
        <v>200</v>
      </c>
      <c r="I85" s="10">
        <v>34000</v>
      </c>
      <c r="J85">
        <v>4</v>
      </c>
      <c r="K85" s="10">
        <v>800</v>
      </c>
      <c r="L85">
        <v>166</v>
      </c>
      <c r="M85" s="10">
        <v>33200</v>
      </c>
      <c r="N85" t="s">
        <v>122</v>
      </c>
    </row>
    <row r="86" spans="1:14" x14ac:dyDescent="0.35">
      <c r="A86" t="s">
        <v>618</v>
      </c>
      <c r="B86" s="9">
        <v>45367</v>
      </c>
      <c r="C86" t="s">
        <v>51</v>
      </c>
      <c r="D86" t="s">
        <v>26</v>
      </c>
      <c r="E86" t="s">
        <v>14</v>
      </c>
      <c r="F86" t="s">
        <v>754</v>
      </c>
      <c r="G86">
        <v>42</v>
      </c>
      <c r="H86" s="10">
        <v>700</v>
      </c>
      <c r="I86" s="10">
        <v>29400</v>
      </c>
      <c r="J86">
        <v>0</v>
      </c>
      <c r="K86" s="10">
        <v>0</v>
      </c>
      <c r="L86">
        <v>42</v>
      </c>
      <c r="M86" s="10">
        <v>29400</v>
      </c>
      <c r="N86" t="s">
        <v>33</v>
      </c>
    </row>
    <row r="87" spans="1:14" x14ac:dyDescent="0.35">
      <c r="A87" t="s">
        <v>103</v>
      </c>
      <c r="B87" s="9">
        <v>45369</v>
      </c>
      <c r="C87" t="s">
        <v>25</v>
      </c>
      <c r="D87" t="s">
        <v>19</v>
      </c>
      <c r="E87" t="s">
        <v>31</v>
      </c>
      <c r="F87" t="s">
        <v>81</v>
      </c>
      <c r="G87">
        <v>114</v>
      </c>
      <c r="H87" s="10">
        <v>650</v>
      </c>
      <c r="I87" s="10">
        <v>74100</v>
      </c>
      <c r="J87">
        <v>10</v>
      </c>
      <c r="K87" s="10">
        <v>6500</v>
      </c>
      <c r="L87">
        <v>104</v>
      </c>
      <c r="M87" s="10">
        <v>67600</v>
      </c>
      <c r="N87" t="s">
        <v>62</v>
      </c>
    </row>
    <row r="88" spans="1:14" x14ac:dyDescent="0.35">
      <c r="A88" t="s">
        <v>565</v>
      </c>
      <c r="B88" s="9">
        <v>45369</v>
      </c>
      <c r="C88" t="s">
        <v>44</v>
      </c>
      <c r="D88" t="s">
        <v>79</v>
      </c>
      <c r="E88" t="s">
        <v>31</v>
      </c>
      <c r="F88" t="s">
        <v>55</v>
      </c>
      <c r="G88">
        <v>111</v>
      </c>
      <c r="H88" s="10">
        <v>1100</v>
      </c>
      <c r="I88" s="10">
        <v>122100</v>
      </c>
      <c r="J88">
        <v>5</v>
      </c>
      <c r="K88" s="10">
        <v>5500</v>
      </c>
      <c r="L88">
        <v>106</v>
      </c>
      <c r="M88" s="10">
        <v>116600</v>
      </c>
      <c r="N88" t="s">
        <v>62</v>
      </c>
    </row>
    <row r="89" spans="1:14" x14ac:dyDescent="0.35">
      <c r="A89" t="s">
        <v>77</v>
      </c>
      <c r="B89" s="9">
        <v>45370</v>
      </c>
      <c r="C89" t="s">
        <v>25</v>
      </c>
      <c r="D89" t="s">
        <v>79</v>
      </c>
      <c r="E89" t="s">
        <v>14</v>
      </c>
      <c r="F89" t="s">
        <v>27</v>
      </c>
      <c r="G89">
        <v>120</v>
      </c>
      <c r="H89" s="10">
        <v>1600</v>
      </c>
      <c r="I89" s="10">
        <v>192000</v>
      </c>
      <c r="J89">
        <v>0</v>
      </c>
      <c r="K89" s="10">
        <v>0</v>
      </c>
      <c r="L89">
        <v>120</v>
      </c>
      <c r="M89" s="10">
        <v>192000</v>
      </c>
      <c r="N89" t="s">
        <v>62</v>
      </c>
    </row>
    <row r="90" spans="1:14" x14ac:dyDescent="0.35">
      <c r="A90" t="s">
        <v>342</v>
      </c>
      <c r="B90" s="9">
        <v>45370</v>
      </c>
      <c r="C90" t="s">
        <v>44</v>
      </c>
      <c r="D90" t="s">
        <v>35</v>
      </c>
      <c r="E90" t="s">
        <v>14</v>
      </c>
      <c r="F90" t="s">
        <v>72</v>
      </c>
      <c r="G90">
        <v>30</v>
      </c>
      <c r="H90" s="10">
        <v>400</v>
      </c>
      <c r="I90" s="10">
        <v>12000</v>
      </c>
      <c r="J90">
        <v>0</v>
      </c>
      <c r="K90" s="10">
        <v>0</v>
      </c>
      <c r="L90">
        <v>30</v>
      </c>
      <c r="M90" s="10">
        <v>12000</v>
      </c>
      <c r="N90" t="s">
        <v>33</v>
      </c>
    </row>
    <row r="91" spans="1:14" x14ac:dyDescent="0.35">
      <c r="A91" t="s">
        <v>499</v>
      </c>
      <c r="B91" s="9">
        <v>45371</v>
      </c>
      <c r="C91" t="s">
        <v>18</v>
      </c>
      <c r="D91" t="s">
        <v>41</v>
      </c>
      <c r="E91" t="s">
        <v>31</v>
      </c>
      <c r="F91" t="s">
        <v>55</v>
      </c>
      <c r="G91">
        <v>130</v>
      </c>
      <c r="H91" s="10">
        <v>1100</v>
      </c>
      <c r="I91" s="10">
        <v>143000</v>
      </c>
      <c r="J91">
        <v>8</v>
      </c>
      <c r="K91" s="10">
        <v>8800</v>
      </c>
      <c r="L91">
        <v>122</v>
      </c>
      <c r="M91" s="10">
        <v>134200</v>
      </c>
      <c r="N91" t="s">
        <v>62</v>
      </c>
    </row>
    <row r="92" spans="1:14" x14ac:dyDescent="0.35">
      <c r="A92" t="s">
        <v>244</v>
      </c>
      <c r="B92" s="9">
        <v>45372</v>
      </c>
      <c r="C92" t="s">
        <v>96</v>
      </c>
      <c r="D92" t="s">
        <v>49</v>
      </c>
      <c r="E92" t="s">
        <v>20</v>
      </c>
      <c r="F92" t="s">
        <v>97</v>
      </c>
      <c r="G92">
        <v>65</v>
      </c>
      <c r="H92" s="10">
        <v>500</v>
      </c>
      <c r="I92" s="10">
        <v>32500</v>
      </c>
      <c r="J92">
        <v>0</v>
      </c>
      <c r="K92" s="10">
        <v>0</v>
      </c>
      <c r="L92">
        <v>65</v>
      </c>
      <c r="M92" s="10">
        <v>32500</v>
      </c>
      <c r="N92" t="s">
        <v>62</v>
      </c>
    </row>
    <row r="93" spans="1:14" x14ac:dyDescent="0.35">
      <c r="A93" t="s">
        <v>464</v>
      </c>
      <c r="B93" s="9">
        <v>45372</v>
      </c>
      <c r="C93" t="s">
        <v>51</v>
      </c>
      <c r="D93" t="s">
        <v>93</v>
      </c>
      <c r="E93" t="s">
        <v>20</v>
      </c>
      <c r="F93" t="s">
        <v>755</v>
      </c>
      <c r="G93">
        <v>52</v>
      </c>
      <c r="H93" s="10">
        <v>3500</v>
      </c>
      <c r="I93" s="10">
        <v>182000</v>
      </c>
      <c r="J93">
        <v>3</v>
      </c>
      <c r="K93" s="10">
        <v>10500</v>
      </c>
      <c r="L93">
        <v>49</v>
      </c>
      <c r="M93" s="10">
        <v>171500</v>
      </c>
      <c r="N93" t="s">
        <v>122</v>
      </c>
    </row>
    <row r="94" spans="1:14" x14ac:dyDescent="0.35">
      <c r="A94" t="s">
        <v>240</v>
      </c>
      <c r="B94" s="9">
        <v>45373</v>
      </c>
      <c r="C94" t="s">
        <v>25</v>
      </c>
      <c r="D94" t="s">
        <v>19</v>
      </c>
      <c r="E94" t="s">
        <v>31</v>
      </c>
      <c r="F94" t="s">
        <v>159</v>
      </c>
      <c r="G94">
        <v>49</v>
      </c>
      <c r="H94" s="10">
        <v>1800</v>
      </c>
      <c r="I94" s="10">
        <v>88200</v>
      </c>
      <c r="J94">
        <v>0</v>
      </c>
      <c r="K94" s="10">
        <v>0</v>
      </c>
      <c r="L94">
        <v>49</v>
      </c>
      <c r="M94" s="10">
        <v>88200</v>
      </c>
      <c r="N94" t="s">
        <v>122</v>
      </c>
    </row>
    <row r="95" spans="1:14" x14ac:dyDescent="0.35">
      <c r="A95" t="s">
        <v>469</v>
      </c>
      <c r="B95" s="9">
        <v>45373</v>
      </c>
      <c r="C95" t="s">
        <v>51</v>
      </c>
      <c r="D95" t="s">
        <v>79</v>
      </c>
      <c r="E95" t="s">
        <v>20</v>
      </c>
      <c r="F95" t="s">
        <v>52</v>
      </c>
      <c r="G95">
        <v>117</v>
      </c>
      <c r="H95" s="10">
        <v>450</v>
      </c>
      <c r="I95" s="10">
        <v>52650</v>
      </c>
      <c r="J95">
        <v>0</v>
      </c>
      <c r="K95" s="10">
        <v>0</v>
      </c>
      <c r="L95">
        <v>117</v>
      </c>
      <c r="M95" s="10">
        <v>52650</v>
      </c>
      <c r="N95" t="s">
        <v>33</v>
      </c>
    </row>
    <row r="96" spans="1:14" x14ac:dyDescent="0.35">
      <c r="A96" t="s">
        <v>630</v>
      </c>
      <c r="B96" s="9">
        <v>45373</v>
      </c>
      <c r="C96" t="s">
        <v>25</v>
      </c>
      <c r="D96" t="s">
        <v>79</v>
      </c>
      <c r="E96" t="s">
        <v>14</v>
      </c>
      <c r="F96" t="s">
        <v>99</v>
      </c>
      <c r="G96">
        <v>132</v>
      </c>
      <c r="H96" s="10">
        <v>1500</v>
      </c>
      <c r="I96" s="10">
        <v>198000</v>
      </c>
      <c r="J96">
        <v>3</v>
      </c>
      <c r="K96" s="10">
        <v>4500</v>
      </c>
      <c r="L96">
        <v>129</v>
      </c>
      <c r="M96" s="10">
        <v>193500</v>
      </c>
      <c r="N96" t="s">
        <v>62</v>
      </c>
    </row>
    <row r="97" spans="1:14" x14ac:dyDescent="0.35">
      <c r="A97" t="s">
        <v>547</v>
      </c>
      <c r="B97" s="9">
        <v>45374</v>
      </c>
      <c r="C97" t="s">
        <v>51</v>
      </c>
      <c r="D97" t="s">
        <v>13</v>
      </c>
      <c r="E97" t="s">
        <v>14</v>
      </c>
      <c r="F97" t="s">
        <v>61</v>
      </c>
      <c r="G97">
        <v>34</v>
      </c>
      <c r="H97" s="10">
        <v>0</v>
      </c>
      <c r="I97" s="10">
        <v>0</v>
      </c>
      <c r="J97">
        <v>3</v>
      </c>
      <c r="K97" s="10">
        <v>0</v>
      </c>
      <c r="L97">
        <v>31</v>
      </c>
      <c r="M97" s="10">
        <v>0</v>
      </c>
      <c r="N97" t="s">
        <v>122</v>
      </c>
    </row>
    <row r="98" spans="1:14" x14ac:dyDescent="0.35">
      <c r="A98" t="s">
        <v>718</v>
      </c>
      <c r="B98" s="9">
        <v>45374</v>
      </c>
      <c r="C98" t="s">
        <v>51</v>
      </c>
      <c r="D98" t="s">
        <v>13</v>
      </c>
      <c r="E98" t="s">
        <v>20</v>
      </c>
      <c r="F98" t="s">
        <v>153</v>
      </c>
      <c r="G98">
        <v>22</v>
      </c>
      <c r="H98" s="10">
        <v>2800</v>
      </c>
      <c r="I98" s="10">
        <v>61600</v>
      </c>
      <c r="J98">
        <v>0</v>
      </c>
      <c r="K98" s="10">
        <v>0</v>
      </c>
      <c r="L98">
        <v>22</v>
      </c>
      <c r="M98" s="10">
        <v>61600</v>
      </c>
      <c r="N98" t="s">
        <v>753</v>
      </c>
    </row>
    <row r="99" spans="1:14" x14ac:dyDescent="0.35">
      <c r="A99" t="s">
        <v>287</v>
      </c>
      <c r="B99" s="9">
        <v>45375</v>
      </c>
      <c r="C99" t="s">
        <v>44</v>
      </c>
      <c r="D99" t="s">
        <v>65</v>
      </c>
      <c r="E99" t="s">
        <v>31</v>
      </c>
      <c r="F99" t="s">
        <v>58</v>
      </c>
      <c r="G99">
        <v>167</v>
      </c>
      <c r="H99" s="10">
        <v>850</v>
      </c>
      <c r="I99" s="10">
        <v>141950</v>
      </c>
      <c r="J99">
        <v>16</v>
      </c>
      <c r="K99" s="10">
        <v>13600</v>
      </c>
      <c r="L99">
        <v>151</v>
      </c>
      <c r="M99" s="10">
        <v>128350</v>
      </c>
      <c r="N99" t="s">
        <v>122</v>
      </c>
    </row>
    <row r="100" spans="1:14" x14ac:dyDescent="0.35">
      <c r="A100" t="s">
        <v>63</v>
      </c>
      <c r="B100" s="9">
        <v>45377</v>
      </c>
      <c r="C100" t="s">
        <v>44</v>
      </c>
      <c r="D100" t="s">
        <v>65</v>
      </c>
      <c r="E100" t="s">
        <v>14</v>
      </c>
      <c r="F100" t="s">
        <v>15</v>
      </c>
      <c r="G100">
        <v>18</v>
      </c>
      <c r="H100" s="10">
        <v>1200</v>
      </c>
      <c r="I100" s="10">
        <v>21600</v>
      </c>
      <c r="J100">
        <v>0</v>
      </c>
      <c r="K100" s="10">
        <v>0</v>
      </c>
      <c r="L100">
        <v>18</v>
      </c>
      <c r="M100" s="10">
        <v>21600</v>
      </c>
      <c r="N100" t="s">
        <v>33</v>
      </c>
    </row>
    <row r="101" spans="1:14" x14ac:dyDescent="0.35">
      <c r="A101" t="s">
        <v>137</v>
      </c>
      <c r="B101" s="9">
        <v>45377</v>
      </c>
      <c r="C101" t="s">
        <v>74</v>
      </c>
      <c r="D101" t="s">
        <v>54</v>
      </c>
      <c r="E101" t="s">
        <v>31</v>
      </c>
      <c r="F101" t="s">
        <v>89</v>
      </c>
      <c r="G101">
        <v>25</v>
      </c>
      <c r="H101" s="10">
        <v>900</v>
      </c>
      <c r="I101" s="10">
        <v>22500</v>
      </c>
      <c r="J101">
        <v>2</v>
      </c>
      <c r="K101" s="10">
        <v>1800</v>
      </c>
      <c r="L101">
        <v>23</v>
      </c>
      <c r="M101" s="10">
        <v>20700</v>
      </c>
      <c r="N101" t="s">
        <v>62</v>
      </c>
    </row>
    <row r="102" spans="1:14" x14ac:dyDescent="0.35">
      <c r="A102" t="s">
        <v>658</v>
      </c>
      <c r="B102" s="9">
        <v>45378</v>
      </c>
      <c r="C102" t="s">
        <v>44</v>
      </c>
      <c r="D102" t="s">
        <v>19</v>
      </c>
      <c r="E102" t="s">
        <v>20</v>
      </c>
      <c r="F102" t="s">
        <v>97</v>
      </c>
      <c r="G102">
        <v>141</v>
      </c>
      <c r="H102" s="10">
        <v>500</v>
      </c>
      <c r="I102" s="10">
        <v>70500</v>
      </c>
      <c r="J102">
        <v>0</v>
      </c>
      <c r="K102" s="10">
        <v>0</v>
      </c>
      <c r="L102">
        <v>141</v>
      </c>
      <c r="M102" s="10">
        <v>70500</v>
      </c>
      <c r="N102" t="s">
        <v>33</v>
      </c>
    </row>
    <row r="103" spans="1:14" x14ac:dyDescent="0.35">
      <c r="A103" t="s">
        <v>677</v>
      </c>
      <c r="B103" s="9">
        <v>45378</v>
      </c>
      <c r="C103" t="s">
        <v>18</v>
      </c>
      <c r="D103" t="s">
        <v>41</v>
      </c>
      <c r="E103" t="s">
        <v>20</v>
      </c>
      <c r="F103" t="s">
        <v>153</v>
      </c>
      <c r="G103">
        <v>59</v>
      </c>
      <c r="H103" s="10">
        <v>2800</v>
      </c>
      <c r="I103" s="10">
        <v>165200</v>
      </c>
      <c r="J103">
        <v>3</v>
      </c>
      <c r="K103" s="10">
        <v>8400</v>
      </c>
      <c r="L103">
        <v>56</v>
      </c>
      <c r="M103" s="10">
        <v>156800</v>
      </c>
      <c r="N103" t="s">
        <v>33</v>
      </c>
    </row>
    <row r="104" spans="1:14" x14ac:dyDescent="0.35">
      <c r="A104" t="s">
        <v>318</v>
      </c>
      <c r="B104" s="9">
        <v>45379</v>
      </c>
      <c r="C104" t="s">
        <v>18</v>
      </c>
      <c r="D104" t="s">
        <v>35</v>
      </c>
      <c r="E104" t="s">
        <v>20</v>
      </c>
      <c r="F104" t="s">
        <v>133</v>
      </c>
      <c r="G104">
        <v>168</v>
      </c>
      <c r="H104" s="10">
        <v>1200</v>
      </c>
      <c r="I104" s="10">
        <v>201600</v>
      </c>
      <c r="J104">
        <v>7</v>
      </c>
      <c r="K104" s="10">
        <v>8400</v>
      </c>
      <c r="L104">
        <v>161</v>
      </c>
      <c r="M104" s="10">
        <v>193200</v>
      </c>
      <c r="N104" t="s">
        <v>33</v>
      </c>
    </row>
    <row r="105" spans="1:14" x14ac:dyDescent="0.35">
      <c r="A105" t="s">
        <v>687</v>
      </c>
      <c r="B105" s="9">
        <v>45380</v>
      </c>
      <c r="C105" t="s">
        <v>51</v>
      </c>
      <c r="D105" t="s">
        <v>49</v>
      </c>
      <c r="E105" t="s">
        <v>20</v>
      </c>
      <c r="F105" t="s">
        <v>52</v>
      </c>
      <c r="G105">
        <v>96</v>
      </c>
      <c r="H105" s="10">
        <v>0</v>
      </c>
      <c r="I105" s="10">
        <v>0</v>
      </c>
      <c r="J105">
        <v>9</v>
      </c>
      <c r="K105" s="10">
        <v>0</v>
      </c>
      <c r="L105">
        <v>87</v>
      </c>
      <c r="M105" s="10">
        <v>0</v>
      </c>
      <c r="N105" t="s">
        <v>33</v>
      </c>
    </row>
    <row r="106" spans="1:14" x14ac:dyDescent="0.35">
      <c r="A106" t="s">
        <v>412</v>
      </c>
      <c r="B106" s="9">
        <v>45382</v>
      </c>
      <c r="C106" t="s">
        <v>44</v>
      </c>
      <c r="D106" t="s">
        <v>54</v>
      </c>
      <c r="E106" t="s">
        <v>20</v>
      </c>
      <c r="F106" t="s">
        <v>97</v>
      </c>
      <c r="G106">
        <v>110</v>
      </c>
      <c r="H106" s="10">
        <v>500</v>
      </c>
      <c r="I106" s="10">
        <v>55000</v>
      </c>
      <c r="J106">
        <v>0</v>
      </c>
      <c r="K106" s="10">
        <v>0</v>
      </c>
      <c r="L106">
        <v>110</v>
      </c>
      <c r="M106" s="10">
        <v>55000</v>
      </c>
      <c r="N106" t="s">
        <v>33</v>
      </c>
    </row>
    <row r="107" spans="1:14" x14ac:dyDescent="0.35">
      <c r="A107" t="s">
        <v>567</v>
      </c>
      <c r="B107" s="9">
        <v>45383</v>
      </c>
      <c r="C107" t="s">
        <v>74</v>
      </c>
      <c r="D107" t="s">
        <v>19</v>
      </c>
      <c r="E107" t="s">
        <v>20</v>
      </c>
      <c r="F107" t="s">
        <v>36</v>
      </c>
      <c r="G107">
        <v>106</v>
      </c>
      <c r="H107" s="10">
        <v>900</v>
      </c>
      <c r="I107" s="10">
        <v>95400</v>
      </c>
      <c r="J107">
        <v>3</v>
      </c>
      <c r="K107" s="10">
        <v>2700</v>
      </c>
      <c r="L107">
        <v>103</v>
      </c>
      <c r="M107" s="10">
        <v>92700</v>
      </c>
      <c r="N107" t="s">
        <v>62</v>
      </c>
    </row>
    <row r="108" spans="1:14" x14ac:dyDescent="0.35">
      <c r="A108" t="s">
        <v>670</v>
      </c>
      <c r="B108" s="9">
        <v>45384</v>
      </c>
      <c r="C108" t="s">
        <v>18</v>
      </c>
      <c r="D108" t="s">
        <v>19</v>
      </c>
      <c r="E108" t="s">
        <v>31</v>
      </c>
      <c r="F108" t="s">
        <v>32</v>
      </c>
      <c r="G108">
        <v>153</v>
      </c>
      <c r="H108" s="10">
        <v>1400</v>
      </c>
      <c r="I108" s="10">
        <v>214200</v>
      </c>
      <c r="J108">
        <v>10</v>
      </c>
      <c r="K108" s="10">
        <v>14000</v>
      </c>
      <c r="L108">
        <v>143</v>
      </c>
      <c r="M108" s="10">
        <v>200200</v>
      </c>
      <c r="N108" t="s">
        <v>62</v>
      </c>
    </row>
    <row r="109" spans="1:14" x14ac:dyDescent="0.35">
      <c r="A109" t="s">
        <v>373</v>
      </c>
      <c r="B109" s="9">
        <v>45385</v>
      </c>
      <c r="C109" t="s">
        <v>51</v>
      </c>
      <c r="D109" t="s">
        <v>54</v>
      </c>
      <c r="E109" t="s">
        <v>20</v>
      </c>
      <c r="F109" t="s">
        <v>97</v>
      </c>
      <c r="G109">
        <v>85</v>
      </c>
      <c r="H109" s="10">
        <v>500</v>
      </c>
      <c r="I109" s="10">
        <v>42500</v>
      </c>
      <c r="J109">
        <v>5</v>
      </c>
      <c r="K109" s="10">
        <v>2500</v>
      </c>
      <c r="L109">
        <v>80</v>
      </c>
      <c r="M109" s="10">
        <v>40000</v>
      </c>
      <c r="N109" t="s">
        <v>33</v>
      </c>
    </row>
    <row r="110" spans="1:14" x14ac:dyDescent="0.35">
      <c r="A110" t="s">
        <v>519</v>
      </c>
      <c r="B110" s="9">
        <v>45385</v>
      </c>
      <c r="C110" t="s">
        <v>25</v>
      </c>
      <c r="D110" t="s">
        <v>54</v>
      </c>
      <c r="E110" t="s">
        <v>14</v>
      </c>
      <c r="F110" t="s">
        <v>754</v>
      </c>
      <c r="G110">
        <v>97</v>
      </c>
      <c r="H110" s="10">
        <v>700</v>
      </c>
      <c r="I110" s="10">
        <v>67900</v>
      </c>
      <c r="J110">
        <v>0</v>
      </c>
      <c r="K110" s="10">
        <v>0</v>
      </c>
      <c r="L110">
        <v>97</v>
      </c>
      <c r="M110" s="10">
        <v>67900</v>
      </c>
      <c r="N110" t="s">
        <v>62</v>
      </c>
    </row>
    <row r="111" spans="1:14" x14ac:dyDescent="0.35">
      <c r="A111" t="s">
        <v>80</v>
      </c>
      <c r="B111" s="9">
        <v>45387</v>
      </c>
      <c r="C111" t="s">
        <v>74</v>
      </c>
      <c r="D111" t="s">
        <v>19</v>
      </c>
      <c r="E111" t="s">
        <v>31</v>
      </c>
      <c r="F111" t="s">
        <v>81</v>
      </c>
      <c r="G111">
        <v>73</v>
      </c>
      <c r="H111" s="10">
        <v>650</v>
      </c>
      <c r="I111" s="10">
        <v>47450</v>
      </c>
      <c r="J111">
        <v>6</v>
      </c>
      <c r="K111" s="10">
        <v>3900</v>
      </c>
      <c r="L111">
        <v>67</v>
      </c>
      <c r="M111" s="10">
        <v>43550</v>
      </c>
      <c r="N111" t="s">
        <v>62</v>
      </c>
    </row>
    <row r="112" spans="1:14" x14ac:dyDescent="0.35">
      <c r="A112" t="s">
        <v>258</v>
      </c>
      <c r="B112" s="9">
        <v>45388</v>
      </c>
      <c r="C112" t="s">
        <v>18</v>
      </c>
      <c r="D112" t="s">
        <v>41</v>
      </c>
      <c r="E112" t="s">
        <v>14</v>
      </c>
      <c r="F112" t="s">
        <v>61</v>
      </c>
      <c r="G112">
        <v>110</v>
      </c>
      <c r="H112" s="10">
        <v>2200</v>
      </c>
      <c r="I112" s="10">
        <v>242000</v>
      </c>
      <c r="J112">
        <v>6</v>
      </c>
      <c r="K112" s="10">
        <v>13200</v>
      </c>
      <c r="L112">
        <v>104</v>
      </c>
      <c r="M112" s="10">
        <v>228800</v>
      </c>
      <c r="N112" t="s">
        <v>33</v>
      </c>
    </row>
    <row r="113" spans="1:14" x14ac:dyDescent="0.35">
      <c r="A113" t="s">
        <v>550</v>
      </c>
      <c r="B113" s="9">
        <v>45388</v>
      </c>
      <c r="C113" t="s">
        <v>74</v>
      </c>
      <c r="D113" t="s">
        <v>93</v>
      </c>
      <c r="E113" t="s">
        <v>31</v>
      </c>
      <c r="F113" t="s">
        <v>45</v>
      </c>
      <c r="G113">
        <v>190</v>
      </c>
      <c r="H113" s="10">
        <v>1200</v>
      </c>
      <c r="I113" s="10">
        <v>228000</v>
      </c>
      <c r="J113">
        <v>18</v>
      </c>
      <c r="K113" s="10">
        <v>21600</v>
      </c>
      <c r="L113">
        <v>172</v>
      </c>
      <c r="M113" s="10">
        <v>206400</v>
      </c>
      <c r="N113" t="s">
        <v>33</v>
      </c>
    </row>
    <row r="114" spans="1:14" x14ac:dyDescent="0.35">
      <c r="A114" t="s">
        <v>649</v>
      </c>
      <c r="B114" s="9">
        <v>45388</v>
      </c>
      <c r="C114" t="s">
        <v>44</v>
      </c>
      <c r="D114" t="s">
        <v>93</v>
      </c>
      <c r="E114" t="s">
        <v>20</v>
      </c>
      <c r="F114" t="s">
        <v>133</v>
      </c>
      <c r="G114">
        <v>156</v>
      </c>
      <c r="H114" s="10">
        <v>1200</v>
      </c>
      <c r="I114" s="10">
        <v>187200</v>
      </c>
      <c r="J114">
        <v>10</v>
      </c>
      <c r="K114" s="10">
        <v>12000</v>
      </c>
      <c r="L114">
        <v>146</v>
      </c>
      <c r="M114" s="10">
        <v>175200</v>
      </c>
      <c r="N114" t="s">
        <v>122</v>
      </c>
    </row>
    <row r="115" spans="1:14" x14ac:dyDescent="0.35">
      <c r="A115" t="s">
        <v>163</v>
      </c>
      <c r="B115" s="9">
        <v>45389</v>
      </c>
      <c r="C115" t="s">
        <v>74</v>
      </c>
      <c r="D115" t="s">
        <v>93</v>
      </c>
      <c r="E115" t="s">
        <v>14</v>
      </c>
      <c r="F115" t="s">
        <v>27</v>
      </c>
      <c r="G115">
        <v>198</v>
      </c>
      <c r="H115" s="10">
        <v>1600</v>
      </c>
      <c r="I115" s="10">
        <v>316800</v>
      </c>
      <c r="J115">
        <v>13</v>
      </c>
      <c r="K115" s="10">
        <v>20800</v>
      </c>
      <c r="L115">
        <v>185</v>
      </c>
      <c r="M115" s="10">
        <v>296000</v>
      </c>
      <c r="N115" t="s">
        <v>122</v>
      </c>
    </row>
    <row r="116" spans="1:14" x14ac:dyDescent="0.35">
      <c r="A116" t="s">
        <v>335</v>
      </c>
      <c r="B116" s="9">
        <v>45389</v>
      </c>
      <c r="C116" t="s">
        <v>44</v>
      </c>
      <c r="D116" t="s">
        <v>19</v>
      </c>
      <c r="E116" t="s">
        <v>31</v>
      </c>
      <c r="F116" t="s">
        <v>45</v>
      </c>
      <c r="G116">
        <v>120</v>
      </c>
      <c r="H116" s="10">
        <v>1200</v>
      </c>
      <c r="I116" s="10">
        <v>144000</v>
      </c>
      <c r="J116">
        <v>0</v>
      </c>
      <c r="K116" s="10">
        <v>0</v>
      </c>
      <c r="L116">
        <v>120</v>
      </c>
      <c r="M116" s="10">
        <v>144000</v>
      </c>
      <c r="N116" t="s">
        <v>122</v>
      </c>
    </row>
    <row r="117" spans="1:14" x14ac:dyDescent="0.35">
      <c r="A117" t="s">
        <v>703</v>
      </c>
      <c r="B117" s="9">
        <v>45391</v>
      </c>
      <c r="C117" t="s">
        <v>51</v>
      </c>
      <c r="D117" t="s">
        <v>65</v>
      </c>
      <c r="E117" t="s">
        <v>20</v>
      </c>
      <c r="F117" t="s">
        <v>52</v>
      </c>
      <c r="G117">
        <v>81</v>
      </c>
      <c r="H117" s="10">
        <v>450</v>
      </c>
      <c r="I117" s="10">
        <v>36450</v>
      </c>
      <c r="J117">
        <v>0</v>
      </c>
      <c r="K117" s="10">
        <v>0</v>
      </c>
      <c r="L117">
        <v>81</v>
      </c>
      <c r="M117" s="10">
        <v>36450</v>
      </c>
      <c r="N117" t="s">
        <v>62</v>
      </c>
    </row>
    <row r="118" spans="1:14" x14ac:dyDescent="0.35">
      <c r="A118" t="s">
        <v>555</v>
      </c>
      <c r="B118" s="9">
        <v>45392</v>
      </c>
      <c r="C118" t="s">
        <v>51</v>
      </c>
      <c r="D118" t="s">
        <v>13</v>
      </c>
      <c r="E118" t="s">
        <v>31</v>
      </c>
      <c r="F118" t="s">
        <v>159</v>
      </c>
      <c r="G118">
        <v>109</v>
      </c>
      <c r="H118" s="10">
        <v>1800</v>
      </c>
      <c r="I118" s="10">
        <v>196200</v>
      </c>
      <c r="J118">
        <v>0</v>
      </c>
      <c r="K118" s="10">
        <v>0</v>
      </c>
      <c r="L118">
        <v>109</v>
      </c>
      <c r="M118" s="10">
        <v>196200</v>
      </c>
      <c r="N118" t="s">
        <v>62</v>
      </c>
    </row>
    <row r="119" spans="1:14" x14ac:dyDescent="0.35">
      <c r="A119" t="s">
        <v>656</v>
      </c>
      <c r="B119" s="9">
        <v>45392</v>
      </c>
      <c r="C119" t="s">
        <v>25</v>
      </c>
      <c r="D119" t="s">
        <v>65</v>
      </c>
      <c r="E119" t="s">
        <v>20</v>
      </c>
      <c r="F119" t="s">
        <v>52</v>
      </c>
      <c r="G119">
        <v>194</v>
      </c>
      <c r="H119" s="10">
        <v>450</v>
      </c>
      <c r="I119" s="10">
        <v>87300</v>
      </c>
      <c r="J119">
        <v>16</v>
      </c>
      <c r="K119" s="10">
        <v>7200</v>
      </c>
      <c r="L119">
        <v>178</v>
      </c>
      <c r="M119" s="10">
        <v>80100</v>
      </c>
      <c r="N119" t="s">
        <v>62</v>
      </c>
    </row>
    <row r="120" spans="1:14" x14ac:dyDescent="0.35">
      <c r="A120" t="s">
        <v>191</v>
      </c>
      <c r="B120" s="9">
        <v>45394</v>
      </c>
      <c r="C120" t="s">
        <v>18</v>
      </c>
      <c r="D120" t="s">
        <v>65</v>
      </c>
      <c r="E120" t="s">
        <v>31</v>
      </c>
      <c r="F120" t="s">
        <v>45</v>
      </c>
      <c r="G120">
        <v>102</v>
      </c>
      <c r="H120" s="10">
        <v>1200</v>
      </c>
      <c r="I120" s="10">
        <v>122400</v>
      </c>
      <c r="J120">
        <v>3</v>
      </c>
      <c r="K120" s="10">
        <v>3600</v>
      </c>
      <c r="L120">
        <v>99</v>
      </c>
      <c r="M120" s="10">
        <v>118800</v>
      </c>
      <c r="N120" t="s">
        <v>62</v>
      </c>
    </row>
    <row r="121" spans="1:14" x14ac:dyDescent="0.35">
      <c r="A121" t="s">
        <v>323</v>
      </c>
      <c r="B121" s="9">
        <v>45396</v>
      </c>
      <c r="C121" t="s">
        <v>74</v>
      </c>
      <c r="D121" t="s">
        <v>93</v>
      </c>
      <c r="E121" t="s">
        <v>14</v>
      </c>
      <c r="F121" t="s">
        <v>70</v>
      </c>
      <c r="G121">
        <v>155</v>
      </c>
      <c r="H121" s="10">
        <v>1800</v>
      </c>
      <c r="I121" s="10">
        <v>279000</v>
      </c>
      <c r="J121">
        <v>0</v>
      </c>
      <c r="K121" s="10">
        <v>0</v>
      </c>
      <c r="L121">
        <v>155</v>
      </c>
      <c r="M121" s="10">
        <v>279000</v>
      </c>
      <c r="N121" t="s">
        <v>122</v>
      </c>
    </row>
    <row r="122" spans="1:14" x14ac:dyDescent="0.35">
      <c r="A122" t="s">
        <v>358</v>
      </c>
      <c r="B122" s="9">
        <v>45397</v>
      </c>
      <c r="C122" t="s">
        <v>96</v>
      </c>
      <c r="D122" t="s">
        <v>41</v>
      </c>
      <c r="E122" t="s">
        <v>20</v>
      </c>
      <c r="F122" t="s">
        <v>755</v>
      </c>
      <c r="G122">
        <v>200</v>
      </c>
      <c r="H122" s="10">
        <v>3500</v>
      </c>
      <c r="I122" s="10">
        <v>700000</v>
      </c>
      <c r="J122">
        <v>0</v>
      </c>
      <c r="K122" s="10">
        <v>0</v>
      </c>
      <c r="L122">
        <v>200</v>
      </c>
      <c r="M122" s="10">
        <v>700000</v>
      </c>
      <c r="N122" t="s">
        <v>122</v>
      </c>
    </row>
    <row r="123" spans="1:14" x14ac:dyDescent="0.35">
      <c r="A123" t="s">
        <v>238</v>
      </c>
      <c r="B123" s="9">
        <v>45399</v>
      </c>
      <c r="C123" t="s">
        <v>74</v>
      </c>
      <c r="D123" t="s">
        <v>13</v>
      </c>
      <c r="E123" t="s">
        <v>20</v>
      </c>
      <c r="F123" t="s">
        <v>153</v>
      </c>
      <c r="G123">
        <v>197</v>
      </c>
      <c r="H123" s="10">
        <v>2800</v>
      </c>
      <c r="I123" s="10">
        <v>551600</v>
      </c>
      <c r="J123">
        <v>0</v>
      </c>
      <c r="K123" s="10">
        <v>0</v>
      </c>
      <c r="L123">
        <v>197</v>
      </c>
      <c r="M123" s="10">
        <v>551600</v>
      </c>
      <c r="N123" t="s">
        <v>33</v>
      </c>
    </row>
    <row r="124" spans="1:14" x14ac:dyDescent="0.35">
      <c r="A124" t="s">
        <v>245</v>
      </c>
      <c r="B124" s="9">
        <v>45400</v>
      </c>
      <c r="C124" t="s">
        <v>44</v>
      </c>
      <c r="D124" t="s">
        <v>54</v>
      </c>
      <c r="E124" t="s">
        <v>20</v>
      </c>
      <c r="F124" t="s">
        <v>97</v>
      </c>
      <c r="G124">
        <v>35</v>
      </c>
      <c r="H124" s="10">
        <v>500</v>
      </c>
      <c r="I124" s="10">
        <v>17500</v>
      </c>
      <c r="J124">
        <v>0</v>
      </c>
      <c r="K124" s="10">
        <v>0</v>
      </c>
      <c r="L124">
        <v>35</v>
      </c>
      <c r="M124" s="10">
        <v>17500</v>
      </c>
      <c r="N124" t="s">
        <v>122</v>
      </c>
    </row>
    <row r="125" spans="1:14" x14ac:dyDescent="0.35">
      <c r="A125" t="s">
        <v>311</v>
      </c>
      <c r="B125" s="9">
        <v>45400</v>
      </c>
      <c r="C125" t="s">
        <v>74</v>
      </c>
      <c r="D125" t="s">
        <v>35</v>
      </c>
      <c r="E125" t="s">
        <v>14</v>
      </c>
      <c r="F125" t="s">
        <v>72</v>
      </c>
      <c r="G125">
        <v>171</v>
      </c>
      <c r="H125" s="10">
        <v>400</v>
      </c>
      <c r="I125" s="10">
        <v>68400</v>
      </c>
      <c r="J125">
        <v>0</v>
      </c>
      <c r="K125" s="10">
        <v>0</v>
      </c>
      <c r="L125">
        <v>171</v>
      </c>
      <c r="M125" s="10">
        <v>68400</v>
      </c>
      <c r="N125" t="s">
        <v>33</v>
      </c>
    </row>
    <row r="126" spans="1:14" x14ac:dyDescent="0.35">
      <c r="A126" t="s">
        <v>716</v>
      </c>
      <c r="B126" s="9">
        <v>45400</v>
      </c>
      <c r="C126" t="s">
        <v>25</v>
      </c>
      <c r="D126" t="s">
        <v>79</v>
      </c>
      <c r="E126" t="s">
        <v>20</v>
      </c>
      <c r="F126" t="s">
        <v>153</v>
      </c>
      <c r="G126">
        <v>43</v>
      </c>
      <c r="H126" s="10">
        <v>2800</v>
      </c>
      <c r="I126" s="10">
        <v>120400</v>
      </c>
      <c r="J126">
        <v>3</v>
      </c>
      <c r="K126" s="10">
        <v>8400</v>
      </c>
      <c r="L126">
        <v>40</v>
      </c>
      <c r="M126" s="10">
        <v>112000</v>
      </c>
      <c r="N126" t="s">
        <v>33</v>
      </c>
    </row>
    <row r="127" spans="1:14" x14ac:dyDescent="0.35">
      <c r="A127" t="s">
        <v>443</v>
      </c>
      <c r="B127" s="9">
        <v>45401</v>
      </c>
      <c r="C127" t="s">
        <v>25</v>
      </c>
      <c r="D127" t="s">
        <v>49</v>
      </c>
      <c r="E127" t="s">
        <v>20</v>
      </c>
      <c r="F127" t="s">
        <v>153</v>
      </c>
      <c r="G127">
        <v>52</v>
      </c>
      <c r="H127" s="10">
        <v>2800</v>
      </c>
      <c r="I127" s="10">
        <v>145600</v>
      </c>
      <c r="J127">
        <v>3</v>
      </c>
      <c r="K127" s="10">
        <v>8400</v>
      </c>
      <c r="L127">
        <v>49</v>
      </c>
      <c r="M127" s="10">
        <v>137200</v>
      </c>
      <c r="N127" t="s">
        <v>122</v>
      </c>
    </row>
    <row r="128" spans="1:14" x14ac:dyDescent="0.35">
      <c r="A128" t="s">
        <v>510</v>
      </c>
      <c r="B128" s="9">
        <v>45401</v>
      </c>
      <c r="C128" t="s">
        <v>96</v>
      </c>
      <c r="D128" t="s">
        <v>65</v>
      </c>
      <c r="E128" t="s">
        <v>31</v>
      </c>
      <c r="F128" t="s">
        <v>89</v>
      </c>
      <c r="G128">
        <v>170</v>
      </c>
      <c r="H128" s="10">
        <v>900</v>
      </c>
      <c r="I128" s="10">
        <v>153000</v>
      </c>
      <c r="J128">
        <v>0</v>
      </c>
      <c r="K128" s="10">
        <v>0</v>
      </c>
      <c r="L128">
        <v>170</v>
      </c>
      <c r="M128" s="10">
        <v>153000</v>
      </c>
      <c r="N128" t="s">
        <v>62</v>
      </c>
    </row>
    <row r="129" spans="1:14" x14ac:dyDescent="0.35">
      <c r="A129" t="s">
        <v>332</v>
      </c>
      <c r="B129" s="9">
        <v>45403</v>
      </c>
      <c r="C129" t="s">
        <v>18</v>
      </c>
      <c r="D129" t="s">
        <v>13</v>
      </c>
      <c r="E129" t="s">
        <v>20</v>
      </c>
      <c r="F129" t="s">
        <v>755</v>
      </c>
      <c r="G129">
        <v>9</v>
      </c>
      <c r="H129" s="10">
        <v>3500</v>
      </c>
      <c r="I129" s="10">
        <v>31500</v>
      </c>
      <c r="J129">
        <v>0</v>
      </c>
      <c r="K129" s="10">
        <v>0</v>
      </c>
      <c r="L129">
        <v>9</v>
      </c>
      <c r="M129" s="10">
        <v>31500</v>
      </c>
      <c r="N129" t="s">
        <v>122</v>
      </c>
    </row>
    <row r="130" spans="1:14" x14ac:dyDescent="0.35">
      <c r="A130" t="s">
        <v>637</v>
      </c>
      <c r="B130" s="9">
        <v>45405</v>
      </c>
      <c r="C130" t="s">
        <v>74</v>
      </c>
      <c r="D130" t="s">
        <v>65</v>
      </c>
      <c r="E130" t="s">
        <v>20</v>
      </c>
      <c r="F130" t="s">
        <v>52</v>
      </c>
      <c r="G130">
        <v>34</v>
      </c>
      <c r="H130" s="10">
        <v>450</v>
      </c>
      <c r="I130" s="10">
        <v>15300</v>
      </c>
      <c r="J130">
        <v>1</v>
      </c>
      <c r="K130" s="10">
        <v>450</v>
      </c>
      <c r="L130">
        <v>33</v>
      </c>
      <c r="M130" s="10">
        <v>14850</v>
      </c>
      <c r="N130" t="s">
        <v>62</v>
      </c>
    </row>
    <row r="131" spans="1:14" x14ac:dyDescent="0.35">
      <c r="A131" t="s">
        <v>271</v>
      </c>
      <c r="B131" s="9">
        <v>45406</v>
      </c>
      <c r="C131" t="s">
        <v>44</v>
      </c>
      <c r="D131" t="s">
        <v>35</v>
      </c>
      <c r="E131" t="s">
        <v>14</v>
      </c>
      <c r="F131" t="s">
        <v>72</v>
      </c>
      <c r="G131">
        <v>189</v>
      </c>
      <c r="H131" s="10">
        <v>400</v>
      </c>
      <c r="I131" s="10">
        <v>75600</v>
      </c>
      <c r="J131">
        <v>0</v>
      </c>
      <c r="K131" s="10">
        <v>0</v>
      </c>
      <c r="L131">
        <v>189</v>
      </c>
      <c r="M131" s="10">
        <v>75600</v>
      </c>
      <c r="N131" t="s">
        <v>62</v>
      </c>
    </row>
    <row r="132" spans="1:14" x14ac:dyDescent="0.35">
      <c r="A132" t="s">
        <v>450</v>
      </c>
      <c r="B132" s="9">
        <v>45406</v>
      </c>
      <c r="C132" t="s">
        <v>18</v>
      </c>
      <c r="D132" t="s">
        <v>753</v>
      </c>
      <c r="E132" t="s">
        <v>14</v>
      </c>
      <c r="F132" t="s">
        <v>70</v>
      </c>
      <c r="G132">
        <v>94</v>
      </c>
      <c r="H132" s="10">
        <v>1800</v>
      </c>
      <c r="I132" s="10">
        <v>169200</v>
      </c>
      <c r="J132">
        <v>9</v>
      </c>
      <c r="K132" s="10">
        <v>16200</v>
      </c>
      <c r="L132">
        <v>85</v>
      </c>
      <c r="M132" s="10">
        <v>153000</v>
      </c>
      <c r="N132" t="s">
        <v>122</v>
      </c>
    </row>
    <row r="133" spans="1:14" x14ac:dyDescent="0.35">
      <c r="A133" t="s">
        <v>660</v>
      </c>
      <c r="B133" s="9">
        <v>45406</v>
      </c>
      <c r="C133" t="s">
        <v>18</v>
      </c>
      <c r="D133" t="s">
        <v>93</v>
      </c>
      <c r="E133" t="s">
        <v>20</v>
      </c>
      <c r="F133" t="s">
        <v>153</v>
      </c>
      <c r="G133">
        <v>126</v>
      </c>
      <c r="H133" s="10">
        <v>2800</v>
      </c>
      <c r="I133" s="10">
        <v>352800</v>
      </c>
      <c r="J133">
        <v>0</v>
      </c>
      <c r="K133" s="10">
        <v>0</v>
      </c>
      <c r="L133">
        <v>126</v>
      </c>
      <c r="M133" s="10">
        <v>352800</v>
      </c>
      <c r="N133" t="s">
        <v>62</v>
      </c>
    </row>
    <row r="134" spans="1:14" x14ac:dyDescent="0.35">
      <c r="A134" t="s">
        <v>180</v>
      </c>
      <c r="B134" s="9">
        <v>45407</v>
      </c>
      <c r="C134" t="s">
        <v>18</v>
      </c>
      <c r="D134" t="s">
        <v>35</v>
      </c>
      <c r="E134" t="s">
        <v>20</v>
      </c>
      <c r="F134" t="s">
        <v>133</v>
      </c>
      <c r="G134">
        <v>181</v>
      </c>
      <c r="H134" s="10">
        <v>1200</v>
      </c>
      <c r="I134" s="10">
        <v>217200</v>
      </c>
      <c r="J134">
        <v>8</v>
      </c>
      <c r="K134" s="10">
        <v>9600</v>
      </c>
      <c r="L134">
        <v>173</v>
      </c>
      <c r="M134" s="10">
        <v>207600</v>
      </c>
      <c r="N134" t="s">
        <v>62</v>
      </c>
    </row>
    <row r="135" spans="1:14" x14ac:dyDescent="0.35">
      <c r="A135" t="s">
        <v>227</v>
      </c>
      <c r="B135" s="9">
        <v>45407</v>
      </c>
      <c r="C135" t="s">
        <v>18</v>
      </c>
      <c r="D135" t="s">
        <v>19</v>
      </c>
      <c r="E135" t="s">
        <v>31</v>
      </c>
      <c r="F135" t="s">
        <v>45</v>
      </c>
      <c r="G135">
        <v>126</v>
      </c>
      <c r="H135" s="10">
        <v>1200</v>
      </c>
      <c r="I135" s="10">
        <v>151200</v>
      </c>
      <c r="J135">
        <v>6</v>
      </c>
      <c r="K135" s="10">
        <v>7200</v>
      </c>
      <c r="L135">
        <v>120</v>
      </c>
      <c r="M135" s="10">
        <v>144000</v>
      </c>
      <c r="N135" t="s">
        <v>122</v>
      </c>
    </row>
    <row r="136" spans="1:14" x14ac:dyDescent="0.35">
      <c r="A136" t="s">
        <v>327</v>
      </c>
      <c r="B136" s="9">
        <v>45408</v>
      </c>
      <c r="C136" t="s">
        <v>51</v>
      </c>
      <c r="D136" t="s">
        <v>26</v>
      </c>
      <c r="E136" t="s">
        <v>20</v>
      </c>
      <c r="F136" t="s">
        <v>52</v>
      </c>
      <c r="G136">
        <v>102</v>
      </c>
      <c r="H136" s="10">
        <v>450</v>
      </c>
      <c r="I136" s="10">
        <v>45900</v>
      </c>
      <c r="J136">
        <v>5</v>
      </c>
      <c r="K136" s="10">
        <v>2250</v>
      </c>
      <c r="L136">
        <v>97</v>
      </c>
      <c r="M136" s="10">
        <v>43650</v>
      </c>
      <c r="N136" t="s">
        <v>122</v>
      </c>
    </row>
    <row r="137" spans="1:14" x14ac:dyDescent="0.35">
      <c r="A137" t="s">
        <v>349</v>
      </c>
      <c r="B137" s="9">
        <v>45409</v>
      </c>
      <c r="C137" t="s">
        <v>25</v>
      </c>
      <c r="D137" t="s">
        <v>19</v>
      </c>
      <c r="E137" t="s">
        <v>14</v>
      </c>
      <c r="F137" t="s">
        <v>15</v>
      </c>
      <c r="G137">
        <v>194</v>
      </c>
      <c r="H137" s="10">
        <v>1200</v>
      </c>
      <c r="I137" s="10">
        <v>232800</v>
      </c>
      <c r="J137">
        <v>8</v>
      </c>
      <c r="K137" s="10">
        <v>9600</v>
      </c>
      <c r="L137">
        <v>186</v>
      </c>
      <c r="M137" s="10">
        <v>223200</v>
      </c>
      <c r="N137" t="s">
        <v>122</v>
      </c>
    </row>
    <row r="138" spans="1:14" x14ac:dyDescent="0.35">
      <c r="A138" t="s">
        <v>634</v>
      </c>
      <c r="B138" s="9">
        <v>45411</v>
      </c>
      <c r="C138" t="s">
        <v>44</v>
      </c>
      <c r="D138" t="s">
        <v>13</v>
      </c>
      <c r="E138" t="s">
        <v>20</v>
      </c>
      <c r="F138" t="s">
        <v>133</v>
      </c>
      <c r="G138">
        <v>73</v>
      </c>
      <c r="H138" s="10">
        <v>1200</v>
      </c>
      <c r="I138" s="10">
        <v>87600</v>
      </c>
      <c r="J138">
        <v>3</v>
      </c>
      <c r="K138" s="10">
        <v>3600</v>
      </c>
      <c r="L138">
        <v>70</v>
      </c>
      <c r="M138" s="10">
        <v>84000</v>
      </c>
      <c r="N138" t="s">
        <v>122</v>
      </c>
    </row>
    <row r="139" spans="1:14" x14ac:dyDescent="0.35">
      <c r="A139" t="s">
        <v>339</v>
      </c>
      <c r="B139" s="9">
        <v>45412</v>
      </c>
      <c r="C139" t="s">
        <v>96</v>
      </c>
      <c r="D139" t="s">
        <v>13</v>
      </c>
      <c r="E139" t="s">
        <v>31</v>
      </c>
      <c r="F139" t="s">
        <v>81</v>
      </c>
      <c r="G139">
        <v>126</v>
      </c>
      <c r="H139" s="10">
        <v>650</v>
      </c>
      <c r="I139" s="10">
        <v>81900</v>
      </c>
      <c r="J139">
        <v>10</v>
      </c>
      <c r="K139" s="10">
        <v>6500</v>
      </c>
      <c r="L139">
        <v>116</v>
      </c>
      <c r="M139" s="10">
        <v>75400</v>
      </c>
      <c r="N139" t="s">
        <v>122</v>
      </c>
    </row>
    <row r="140" spans="1:14" x14ac:dyDescent="0.35">
      <c r="A140" t="s">
        <v>344</v>
      </c>
      <c r="B140" s="9">
        <v>45414</v>
      </c>
      <c r="C140" t="s">
        <v>25</v>
      </c>
      <c r="D140" t="s">
        <v>35</v>
      </c>
      <c r="E140" t="s">
        <v>14</v>
      </c>
      <c r="F140" t="s">
        <v>15</v>
      </c>
      <c r="G140">
        <v>98</v>
      </c>
      <c r="H140" s="10">
        <v>1200</v>
      </c>
      <c r="I140" s="10">
        <v>117600</v>
      </c>
      <c r="J140">
        <v>0</v>
      </c>
      <c r="K140" s="10">
        <v>0</v>
      </c>
      <c r="L140">
        <v>98</v>
      </c>
      <c r="M140" s="10">
        <v>117600</v>
      </c>
      <c r="N140" t="s">
        <v>122</v>
      </c>
    </row>
    <row r="141" spans="1:14" x14ac:dyDescent="0.35">
      <c r="A141" t="s">
        <v>451</v>
      </c>
      <c r="B141" s="9">
        <v>45415</v>
      </c>
      <c r="C141" t="s">
        <v>44</v>
      </c>
      <c r="D141" t="s">
        <v>19</v>
      </c>
      <c r="E141" t="s">
        <v>20</v>
      </c>
      <c r="F141" t="s">
        <v>755</v>
      </c>
      <c r="G141">
        <v>24</v>
      </c>
      <c r="H141" s="10">
        <v>3500</v>
      </c>
      <c r="I141" s="10">
        <v>84000</v>
      </c>
      <c r="J141">
        <v>0</v>
      </c>
      <c r="K141" s="10">
        <v>0</v>
      </c>
      <c r="L141">
        <v>24</v>
      </c>
      <c r="M141" s="10">
        <v>84000</v>
      </c>
      <c r="N141" t="s">
        <v>33</v>
      </c>
    </row>
    <row r="142" spans="1:14" x14ac:dyDescent="0.35">
      <c r="A142" t="s">
        <v>482</v>
      </c>
      <c r="B142" s="9">
        <v>45415</v>
      </c>
      <c r="C142" t="s">
        <v>44</v>
      </c>
      <c r="D142" t="s">
        <v>41</v>
      </c>
      <c r="E142" t="s">
        <v>31</v>
      </c>
      <c r="F142" t="s">
        <v>58</v>
      </c>
      <c r="G142">
        <v>184</v>
      </c>
      <c r="H142" s="10">
        <v>850</v>
      </c>
      <c r="I142" s="10">
        <v>156400</v>
      </c>
      <c r="J142">
        <v>3</v>
      </c>
      <c r="K142" s="10">
        <v>2550</v>
      </c>
      <c r="L142">
        <v>181</v>
      </c>
      <c r="M142" s="10">
        <v>153850</v>
      </c>
      <c r="N142" t="s">
        <v>33</v>
      </c>
    </row>
    <row r="143" spans="1:14" x14ac:dyDescent="0.35">
      <c r="A143" t="s">
        <v>644</v>
      </c>
      <c r="B143" s="9">
        <v>45415</v>
      </c>
      <c r="C143" t="s">
        <v>51</v>
      </c>
      <c r="D143" t="s">
        <v>35</v>
      </c>
      <c r="E143" t="s">
        <v>31</v>
      </c>
      <c r="F143" t="s">
        <v>45</v>
      </c>
      <c r="G143">
        <v>135</v>
      </c>
      <c r="H143" s="10">
        <v>1200</v>
      </c>
      <c r="I143" s="10">
        <v>162000</v>
      </c>
      <c r="J143">
        <v>0</v>
      </c>
      <c r="K143" s="10">
        <v>0</v>
      </c>
      <c r="L143">
        <v>135</v>
      </c>
      <c r="M143" s="10">
        <v>162000</v>
      </c>
      <c r="N143" t="s">
        <v>33</v>
      </c>
    </row>
    <row r="144" spans="1:14" x14ac:dyDescent="0.35">
      <c r="A144" t="s">
        <v>392</v>
      </c>
      <c r="B144" s="9">
        <v>45416</v>
      </c>
      <c r="C144" t="s">
        <v>51</v>
      </c>
      <c r="D144" t="s">
        <v>54</v>
      </c>
      <c r="E144" t="s">
        <v>20</v>
      </c>
      <c r="F144" t="s">
        <v>133</v>
      </c>
      <c r="G144">
        <v>130</v>
      </c>
      <c r="H144" s="10">
        <v>1200</v>
      </c>
      <c r="I144" s="10">
        <v>156000</v>
      </c>
      <c r="J144">
        <v>13</v>
      </c>
      <c r="K144" s="10">
        <v>15600</v>
      </c>
      <c r="L144">
        <v>117</v>
      </c>
      <c r="M144" s="10">
        <v>140400</v>
      </c>
      <c r="N144" t="s">
        <v>62</v>
      </c>
    </row>
    <row r="145" spans="1:14" x14ac:dyDescent="0.35">
      <c r="A145" t="s">
        <v>520</v>
      </c>
      <c r="B145" s="9">
        <v>45418</v>
      </c>
      <c r="C145" t="s">
        <v>96</v>
      </c>
      <c r="D145" t="s">
        <v>13</v>
      </c>
      <c r="E145" t="s">
        <v>14</v>
      </c>
      <c r="F145" t="s">
        <v>72</v>
      </c>
      <c r="G145">
        <v>136</v>
      </c>
      <c r="H145" s="10">
        <v>400</v>
      </c>
      <c r="I145" s="10">
        <v>54400</v>
      </c>
      <c r="J145">
        <v>0</v>
      </c>
      <c r="K145" s="10">
        <v>0</v>
      </c>
      <c r="L145">
        <v>136</v>
      </c>
      <c r="M145" s="10">
        <v>54400</v>
      </c>
      <c r="N145" t="s">
        <v>33</v>
      </c>
    </row>
    <row r="146" spans="1:14" x14ac:dyDescent="0.35">
      <c r="A146" t="s">
        <v>131</v>
      </c>
      <c r="B146" s="9">
        <v>45419</v>
      </c>
      <c r="C146" t="s">
        <v>44</v>
      </c>
      <c r="D146" t="s">
        <v>19</v>
      </c>
      <c r="E146" t="s">
        <v>20</v>
      </c>
      <c r="F146" t="s">
        <v>133</v>
      </c>
      <c r="G146">
        <v>65</v>
      </c>
      <c r="H146" s="10">
        <v>1200</v>
      </c>
      <c r="I146" s="10">
        <v>78000</v>
      </c>
      <c r="J146">
        <v>6</v>
      </c>
      <c r="K146" s="10">
        <v>7200</v>
      </c>
      <c r="L146">
        <v>59</v>
      </c>
      <c r="M146" s="10">
        <v>70800</v>
      </c>
      <c r="N146" t="s">
        <v>122</v>
      </c>
    </row>
    <row r="147" spans="1:14" x14ac:dyDescent="0.35">
      <c r="A147" t="s">
        <v>470</v>
      </c>
      <c r="B147" s="9">
        <v>45419</v>
      </c>
      <c r="C147" t="s">
        <v>51</v>
      </c>
      <c r="D147" t="s">
        <v>13</v>
      </c>
      <c r="E147" t="s">
        <v>20</v>
      </c>
      <c r="F147" t="s">
        <v>153</v>
      </c>
      <c r="G147">
        <v>51</v>
      </c>
      <c r="H147" s="10">
        <v>2800</v>
      </c>
      <c r="I147" s="10">
        <v>142800</v>
      </c>
      <c r="J147">
        <v>5</v>
      </c>
      <c r="K147" s="10">
        <v>14000</v>
      </c>
      <c r="L147">
        <v>46</v>
      </c>
      <c r="M147" s="10">
        <v>128800</v>
      </c>
      <c r="N147" t="s">
        <v>62</v>
      </c>
    </row>
    <row r="148" spans="1:14" x14ac:dyDescent="0.35">
      <c r="A148" t="s">
        <v>575</v>
      </c>
      <c r="B148" s="9">
        <v>45420</v>
      </c>
      <c r="C148" t="s">
        <v>25</v>
      </c>
      <c r="D148" t="s">
        <v>79</v>
      </c>
      <c r="E148" t="s">
        <v>20</v>
      </c>
      <c r="F148" t="s">
        <v>97</v>
      </c>
      <c r="G148">
        <v>143</v>
      </c>
      <c r="H148" s="10">
        <v>500</v>
      </c>
      <c r="I148" s="10">
        <v>71500</v>
      </c>
      <c r="J148">
        <v>11</v>
      </c>
      <c r="K148" s="10">
        <v>5500</v>
      </c>
      <c r="L148">
        <v>132</v>
      </c>
      <c r="M148" s="10">
        <v>66000</v>
      </c>
      <c r="N148" t="s">
        <v>122</v>
      </c>
    </row>
    <row r="149" spans="1:14" x14ac:dyDescent="0.35">
      <c r="A149" t="s">
        <v>320</v>
      </c>
      <c r="B149" s="9">
        <v>45421</v>
      </c>
      <c r="C149" t="s">
        <v>44</v>
      </c>
      <c r="D149" t="s">
        <v>79</v>
      </c>
      <c r="E149" t="s">
        <v>20</v>
      </c>
      <c r="F149" t="s">
        <v>153</v>
      </c>
      <c r="G149">
        <v>178</v>
      </c>
      <c r="H149" s="10">
        <v>2800</v>
      </c>
      <c r="I149" s="10">
        <v>498400</v>
      </c>
      <c r="J149">
        <v>2</v>
      </c>
      <c r="K149" s="10">
        <v>5600</v>
      </c>
      <c r="L149">
        <v>176</v>
      </c>
      <c r="M149" s="10">
        <v>492800</v>
      </c>
      <c r="N149" t="s">
        <v>62</v>
      </c>
    </row>
    <row r="150" spans="1:14" x14ac:dyDescent="0.35">
      <c r="A150" t="s">
        <v>486</v>
      </c>
      <c r="B150" s="9">
        <v>45421</v>
      </c>
      <c r="C150" t="s">
        <v>74</v>
      </c>
      <c r="D150" t="s">
        <v>54</v>
      </c>
      <c r="E150" t="s">
        <v>20</v>
      </c>
      <c r="F150" t="s">
        <v>36</v>
      </c>
      <c r="G150">
        <v>17</v>
      </c>
      <c r="H150" s="10">
        <v>900</v>
      </c>
      <c r="I150" s="10">
        <v>15300</v>
      </c>
      <c r="J150">
        <v>0</v>
      </c>
      <c r="K150" s="10">
        <v>0</v>
      </c>
      <c r="L150">
        <v>17</v>
      </c>
      <c r="M150" s="10">
        <v>15300</v>
      </c>
      <c r="N150" t="s">
        <v>122</v>
      </c>
    </row>
    <row r="151" spans="1:14" x14ac:dyDescent="0.35">
      <c r="A151" t="s">
        <v>594</v>
      </c>
      <c r="B151" s="9">
        <v>45421</v>
      </c>
      <c r="C151" t="s">
        <v>51</v>
      </c>
      <c r="D151" t="s">
        <v>93</v>
      </c>
      <c r="E151" t="s">
        <v>14</v>
      </c>
      <c r="F151" t="s">
        <v>70</v>
      </c>
      <c r="G151">
        <v>74</v>
      </c>
      <c r="H151" s="10">
        <v>1800</v>
      </c>
      <c r="I151" s="10">
        <v>133200</v>
      </c>
      <c r="J151">
        <v>4</v>
      </c>
      <c r="K151" s="10">
        <v>7200</v>
      </c>
      <c r="L151">
        <v>70</v>
      </c>
      <c r="M151" s="10">
        <v>126000</v>
      </c>
      <c r="N151" t="s">
        <v>33</v>
      </c>
    </row>
    <row r="152" spans="1:14" x14ac:dyDescent="0.35">
      <c r="A152" t="s">
        <v>251</v>
      </c>
      <c r="B152" s="9">
        <v>45422</v>
      </c>
      <c r="C152" t="s">
        <v>96</v>
      </c>
      <c r="D152" t="s">
        <v>93</v>
      </c>
      <c r="E152" t="s">
        <v>20</v>
      </c>
      <c r="F152" t="s">
        <v>52</v>
      </c>
      <c r="G152">
        <v>26</v>
      </c>
      <c r="H152" s="10">
        <v>450</v>
      </c>
      <c r="I152" s="10">
        <v>11700</v>
      </c>
      <c r="J152">
        <v>0</v>
      </c>
      <c r="K152" s="10">
        <v>0</v>
      </c>
      <c r="L152">
        <v>26</v>
      </c>
      <c r="M152" s="10">
        <v>11700</v>
      </c>
      <c r="N152" t="s">
        <v>122</v>
      </c>
    </row>
    <row r="153" spans="1:14" x14ac:dyDescent="0.35">
      <c r="A153" t="s">
        <v>355</v>
      </c>
      <c r="B153" s="9">
        <v>45422</v>
      </c>
      <c r="C153" t="s">
        <v>74</v>
      </c>
      <c r="D153" t="s">
        <v>26</v>
      </c>
      <c r="E153" t="s">
        <v>20</v>
      </c>
      <c r="F153" t="s">
        <v>52</v>
      </c>
      <c r="G153">
        <v>6</v>
      </c>
      <c r="H153" s="10">
        <v>450</v>
      </c>
      <c r="I153" s="10">
        <v>2700</v>
      </c>
      <c r="J153">
        <v>1</v>
      </c>
      <c r="K153" s="10">
        <v>450</v>
      </c>
      <c r="L153">
        <v>5</v>
      </c>
      <c r="M153" s="10">
        <v>2250</v>
      </c>
      <c r="N153" t="s">
        <v>122</v>
      </c>
    </row>
    <row r="154" spans="1:14" x14ac:dyDescent="0.35">
      <c r="A154" t="s">
        <v>427</v>
      </c>
      <c r="B154" s="9">
        <v>45422</v>
      </c>
      <c r="C154" t="s">
        <v>44</v>
      </c>
      <c r="D154" t="s">
        <v>49</v>
      </c>
      <c r="E154" t="s">
        <v>753</v>
      </c>
      <c r="F154" t="s">
        <v>32</v>
      </c>
      <c r="G154">
        <v>174</v>
      </c>
      <c r="H154" s="10">
        <v>1400</v>
      </c>
      <c r="I154" s="10">
        <v>243600</v>
      </c>
      <c r="J154">
        <v>16</v>
      </c>
      <c r="K154" s="10">
        <v>22400</v>
      </c>
      <c r="L154">
        <v>158</v>
      </c>
      <c r="M154" s="10">
        <v>221200</v>
      </c>
      <c r="N154" t="s">
        <v>122</v>
      </c>
    </row>
    <row r="155" spans="1:14" x14ac:dyDescent="0.35">
      <c r="A155" t="s">
        <v>357</v>
      </c>
      <c r="B155" s="9">
        <v>45423</v>
      </c>
      <c r="C155" t="s">
        <v>18</v>
      </c>
      <c r="D155" t="s">
        <v>79</v>
      </c>
      <c r="E155" t="s">
        <v>14</v>
      </c>
      <c r="F155" t="s">
        <v>72</v>
      </c>
      <c r="G155">
        <v>155</v>
      </c>
      <c r="H155" s="10">
        <v>400</v>
      </c>
      <c r="I155" s="10">
        <v>62000</v>
      </c>
      <c r="J155">
        <v>4</v>
      </c>
      <c r="K155" s="10">
        <v>1600</v>
      </c>
      <c r="L155">
        <v>151</v>
      </c>
      <c r="M155" s="10">
        <v>60400</v>
      </c>
      <c r="N155" t="s">
        <v>62</v>
      </c>
    </row>
    <row r="156" spans="1:14" x14ac:dyDescent="0.35">
      <c r="A156" t="s">
        <v>458</v>
      </c>
      <c r="B156" s="9">
        <v>45424</v>
      </c>
      <c r="C156" t="s">
        <v>96</v>
      </c>
      <c r="D156" t="s">
        <v>54</v>
      </c>
      <c r="E156" t="s">
        <v>20</v>
      </c>
      <c r="F156" t="s">
        <v>52</v>
      </c>
      <c r="G156">
        <v>89</v>
      </c>
      <c r="H156" s="10">
        <v>450</v>
      </c>
      <c r="I156" s="10">
        <v>40050</v>
      </c>
      <c r="J156">
        <v>0</v>
      </c>
      <c r="K156" s="10">
        <v>0</v>
      </c>
      <c r="L156">
        <v>89</v>
      </c>
      <c r="M156" s="10">
        <v>40050</v>
      </c>
      <c r="N156" t="s">
        <v>122</v>
      </c>
    </row>
    <row r="157" spans="1:14" x14ac:dyDescent="0.35">
      <c r="A157" t="s">
        <v>241</v>
      </c>
      <c r="B157" s="9">
        <v>45425</v>
      </c>
      <c r="C157" t="s">
        <v>74</v>
      </c>
      <c r="D157" t="s">
        <v>93</v>
      </c>
      <c r="E157" t="s">
        <v>20</v>
      </c>
      <c r="F157" t="s">
        <v>755</v>
      </c>
      <c r="G157">
        <v>175</v>
      </c>
      <c r="H157" s="10">
        <v>3500</v>
      </c>
      <c r="I157" s="10">
        <v>612500</v>
      </c>
      <c r="J157">
        <v>5</v>
      </c>
      <c r="K157" s="10">
        <v>17500</v>
      </c>
      <c r="L157">
        <v>170</v>
      </c>
      <c r="M157" s="10">
        <v>595000</v>
      </c>
      <c r="N157" t="s">
        <v>122</v>
      </c>
    </row>
    <row r="158" spans="1:14" x14ac:dyDescent="0.35">
      <c r="A158" t="s">
        <v>407</v>
      </c>
      <c r="B158" s="9">
        <v>45425</v>
      </c>
      <c r="C158" t="s">
        <v>74</v>
      </c>
      <c r="D158" t="s">
        <v>54</v>
      </c>
      <c r="E158" t="s">
        <v>20</v>
      </c>
      <c r="F158" t="s">
        <v>755</v>
      </c>
      <c r="G158">
        <v>21</v>
      </c>
      <c r="H158" s="10">
        <v>3500</v>
      </c>
      <c r="I158" s="10">
        <v>73500</v>
      </c>
      <c r="J158">
        <v>1</v>
      </c>
      <c r="K158" s="10">
        <v>3500</v>
      </c>
      <c r="L158">
        <v>20</v>
      </c>
      <c r="M158" s="10">
        <v>70000</v>
      </c>
      <c r="N158" t="s">
        <v>62</v>
      </c>
    </row>
    <row r="159" spans="1:14" x14ac:dyDescent="0.35">
      <c r="A159" t="s">
        <v>489</v>
      </c>
      <c r="B159" s="9">
        <v>45425</v>
      </c>
      <c r="C159" t="s">
        <v>25</v>
      </c>
      <c r="D159" t="s">
        <v>41</v>
      </c>
      <c r="E159" t="s">
        <v>31</v>
      </c>
      <c r="F159" t="s">
        <v>159</v>
      </c>
      <c r="G159">
        <v>173</v>
      </c>
      <c r="H159" s="10">
        <v>1800</v>
      </c>
      <c r="I159" s="10">
        <v>311400</v>
      </c>
      <c r="J159">
        <v>0</v>
      </c>
      <c r="K159" s="10">
        <v>0</v>
      </c>
      <c r="L159">
        <v>173</v>
      </c>
      <c r="M159" s="10">
        <v>311400</v>
      </c>
      <c r="N159" t="s">
        <v>33</v>
      </c>
    </row>
    <row r="160" spans="1:14" x14ac:dyDescent="0.35">
      <c r="A160" t="s">
        <v>518</v>
      </c>
      <c r="B160" s="9">
        <v>45425</v>
      </c>
      <c r="C160" t="s">
        <v>25</v>
      </c>
      <c r="D160" t="s">
        <v>753</v>
      </c>
      <c r="E160" t="s">
        <v>31</v>
      </c>
      <c r="F160" t="s">
        <v>58</v>
      </c>
      <c r="G160">
        <v>199</v>
      </c>
      <c r="H160" s="10">
        <v>850</v>
      </c>
      <c r="I160" s="10">
        <v>169150</v>
      </c>
      <c r="J160">
        <v>18</v>
      </c>
      <c r="K160" s="10">
        <v>15300</v>
      </c>
      <c r="L160">
        <v>181</v>
      </c>
      <c r="M160" s="10">
        <v>153850</v>
      </c>
      <c r="N160" t="s">
        <v>62</v>
      </c>
    </row>
    <row r="161" spans="1:14" x14ac:dyDescent="0.35">
      <c r="A161" t="s">
        <v>706</v>
      </c>
      <c r="B161" s="9">
        <v>45425</v>
      </c>
      <c r="C161" t="s">
        <v>44</v>
      </c>
      <c r="D161" t="s">
        <v>49</v>
      </c>
      <c r="E161" t="s">
        <v>31</v>
      </c>
      <c r="F161" t="s">
        <v>89</v>
      </c>
      <c r="G161">
        <v>46</v>
      </c>
      <c r="H161" s="10">
        <v>900</v>
      </c>
      <c r="I161" s="10">
        <v>41400</v>
      </c>
      <c r="J161">
        <v>0</v>
      </c>
      <c r="K161" s="10">
        <v>0</v>
      </c>
      <c r="L161">
        <v>46</v>
      </c>
      <c r="M161" s="10">
        <v>41400</v>
      </c>
      <c r="N161" t="s">
        <v>122</v>
      </c>
    </row>
    <row r="162" spans="1:14" x14ac:dyDescent="0.35">
      <c r="A162" t="s">
        <v>721</v>
      </c>
      <c r="B162" s="9">
        <v>45425</v>
      </c>
      <c r="C162" t="s">
        <v>25</v>
      </c>
      <c r="D162" t="s">
        <v>19</v>
      </c>
      <c r="E162" t="s">
        <v>31</v>
      </c>
      <c r="F162" t="s">
        <v>58</v>
      </c>
      <c r="G162">
        <v>15</v>
      </c>
      <c r="H162" s="10">
        <v>850</v>
      </c>
      <c r="I162" s="10">
        <v>12750</v>
      </c>
      <c r="J162">
        <v>0</v>
      </c>
      <c r="K162" s="10">
        <v>0</v>
      </c>
      <c r="L162">
        <v>15</v>
      </c>
      <c r="M162" s="10">
        <v>12750</v>
      </c>
      <c r="N162" t="s">
        <v>33</v>
      </c>
    </row>
    <row r="163" spans="1:14" x14ac:dyDescent="0.35">
      <c r="A163" t="s">
        <v>361</v>
      </c>
      <c r="B163" s="9">
        <v>45427</v>
      </c>
      <c r="C163" t="s">
        <v>44</v>
      </c>
      <c r="D163" t="s">
        <v>13</v>
      </c>
      <c r="E163" t="s">
        <v>20</v>
      </c>
      <c r="F163" t="s">
        <v>97</v>
      </c>
      <c r="G163">
        <v>104</v>
      </c>
      <c r="H163" s="10">
        <v>500</v>
      </c>
      <c r="I163" s="10">
        <v>52000</v>
      </c>
      <c r="J163">
        <v>8</v>
      </c>
      <c r="K163" s="10">
        <v>4000</v>
      </c>
      <c r="L163">
        <v>96</v>
      </c>
      <c r="M163" s="10">
        <v>48000</v>
      </c>
      <c r="N163" t="s">
        <v>62</v>
      </c>
    </row>
    <row r="164" spans="1:14" x14ac:dyDescent="0.35">
      <c r="A164" t="s">
        <v>492</v>
      </c>
      <c r="B164" s="9">
        <v>45427</v>
      </c>
      <c r="C164" t="s">
        <v>96</v>
      </c>
      <c r="D164" t="s">
        <v>54</v>
      </c>
      <c r="E164" t="s">
        <v>14</v>
      </c>
      <c r="F164" t="s">
        <v>72</v>
      </c>
      <c r="G164">
        <v>130</v>
      </c>
      <c r="H164" s="10">
        <v>400</v>
      </c>
      <c r="I164" s="10">
        <v>52000</v>
      </c>
      <c r="J164">
        <v>12</v>
      </c>
      <c r="K164" s="10">
        <v>4800</v>
      </c>
      <c r="L164">
        <v>118</v>
      </c>
      <c r="M164" s="10">
        <v>47200</v>
      </c>
      <c r="N164" t="s">
        <v>122</v>
      </c>
    </row>
    <row r="165" spans="1:14" x14ac:dyDescent="0.35">
      <c r="A165" t="s">
        <v>120</v>
      </c>
      <c r="B165" s="9">
        <v>45429</v>
      </c>
      <c r="C165" t="s">
        <v>74</v>
      </c>
      <c r="D165" t="s">
        <v>65</v>
      </c>
      <c r="E165" t="s">
        <v>31</v>
      </c>
      <c r="F165" t="s">
        <v>121</v>
      </c>
      <c r="G165">
        <v>143</v>
      </c>
      <c r="H165" s="10">
        <v>200</v>
      </c>
      <c r="I165" s="10">
        <v>28600</v>
      </c>
      <c r="J165">
        <v>0</v>
      </c>
      <c r="K165" s="10">
        <v>0</v>
      </c>
      <c r="L165">
        <v>143</v>
      </c>
      <c r="M165" s="10">
        <v>28600</v>
      </c>
      <c r="N165" t="s">
        <v>122</v>
      </c>
    </row>
    <row r="166" spans="1:14" x14ac:dyDescent="0.35">
      <c r="A166" t="s">
        <v>578</v>
      </c>
      <c r="B166" s="9">
        <v>45431</v>
      </c>
      <c r="C166" t="s">
        <v>18</v>
      </c>
      <c r="D166" t="s">
        <v>35</v>
      </c>
      <c r="E166" t="s">
        <v>20</v>
      </c>
      <c r="F166" t="s">
        <v>153</v>
      </c>
      <c r="G166">
        <v>50</v>
      </c>
      <c r="H166" s="10">
        <v>2800</v>
      </c>
      <c r="I166" s="10">
        <v>140000</v>
      </c>
      <c r="J166">
        <v>0</v>
      </c>
      <c r="K166" s="10">
        <v>0</v>
      </c>
      <c r="L166">
        <v>50</v>
      </c>
      <c r="M166" s="10">
        <v>140000</v>
      </c>
      <c r="N166" t="s">
        <v>33</v>
      </c>
    </row>
    <row r="167" spans="1:14" x14ac:dyDescent="0.35">
      <c r="A167" t="s">
        <v>620</v>
      </c>
      <c r="B167" s="9">
        <v>45431</v>
      </c>
      <c r="C167" t="s">
        <v>96</v>
      </c>
      <c r="D167" t="s">
        <v>49</v>
      </c>
      <c r="E167" t="s">
        <v>14</v>
      </c>
      <c r="F167" t="s">
        <v>72</v>
      </c>
      <c r="G167">
        <v>159</v>
      </c>
      <c r="H167" s="10">
        <v>400</v>
      </c>
      <c r="I167" s="10">
        <v>63600</v>
      </c>
      <c r="J167">
        <v>0</v>
      </c>
      <c r="K167" s="10">
        <v>0</v>
      </c>
      <c r="L167">
        <v>159</v>
      </c>
      <c r="M167" s="10">
        <v>63600</v>
      </c>
      <c r="N167" t="s">
        <v>122</v>
      </c>
    </row>
    <row r="168" spans="1:14" x14ac:dyDescent="0.35">
      <c r="A168" t="s">
        <v>205</v>
      </c>
      <c r="B168" s="9">
        <v>45432</v>
      </c>
      <c r="C168" t="s">
        <v>96</v>
      </c>
      <c r="D168" t="s">
        <v>93</v>
      </c>
      <c r="E168" t="s">
        <v>31</v>
      </c>
      <c r="F168" t="s">
        <v>55</v>
      </c>
      <c r="G168">
        <v>123</v>
      </c>
      <c r="H168" s="10">
        <v>1100</v>
      </c>
      <c r="I168" s="10">
        <v>135300</v>
      </c>
      <c r="J168">
        <v>0</v>
      </c>
      <c r="K168" s="10">
        <v>0</v>
      </c>
      <c r="L168">
        <v>123</v>
      </c>
      <c r="M168" s="10">
        <v>135300</v>
      </c>
      <c r="N168" t="s">
        <v>33</v>
      </c>
    </row>
    <row r="169" spans="1:14" x14ac:dyDescent="0.35">
      <c r="A169" t="s">
        <v>381</v>
      </c>
      <c r="B169" s="9">
        <v>45432</v>
      </c>
      <c r="C169" t="s">
        <v>74</v>
      </c>
      <c r="D169" t="s">
        <v>65</v>
      </c>
      <c r="E169" t="s">
        <v>31</v>
      </c>
      <c r="F169" t="s">
        <v>81</v>
      </c>
      <c r="G169">
        <v>11</v>
      </c>
      <c r="H169" s="10">
        <v>650</v>
      </c>
      <c r="I169" s="10">
        <v>7150</v>
      </c>
      <c r="J169">
        <v>0</v>
      </c>
      <c r="K169" s="10">
        <v>0</v>
      </c>
      <c r="L169">
        <v>11</v>
      </c>
      <c r="M169" s="10">
        <v>7150</v>
      </c>
      <c r="N169" t="s">
        <v>122</v>
      </c>
    </row>
    <row r="170" spans="1:14" x14ac:dyDescent="0.35">
      <c r="A170" t="s">
        <v>480</v>
      </c>
      <c r="B170" s="9">
        <v>45432</v>
      </c>
      <c r="C170" t="s">
        <v>18</v>
      </c>
      <c r="D170" t="s">
        <v>26</v>
      </c>
      <c r="E170" t="s">
        <v>20</v>
      </c>
      <c r="F170" t="s">
        <v>52</v>
      </c>
      <c r="G170">
        <v>177</v>
      </c>
      <c r="H170" s="10">
        <v>450</v>
      </c>
      <c r="I170" s="10">
        <v>79650</v>
      </c>
      <c r="J170">
        <v>16</v>
      </c>
      <c r="K170" s="10">
        <v>7200</v>
      </c>
      <c r="L170">
        <v>161</v>
      </c>
      <c r="M170" s="10">
        <v>72450</v>
      </c>
      <c r="N170" t="s">
        <v>33</v>
      </c>
    </row>
    <row r="171" spans="1:14" x14ac:dyDescent="0.35">
      <c r="A171" t="s">
        <v>702</v>
      </c>
      <c r="B171" s="9">
        <v>45433</v>
      </c>
      <c r="C171" t="s">
        <v>44</v>
      </c>
      <c r="D171" t="s">
        <v>41</v>
      </c>
      <c r="E171" t="s">
        <v>20</v>
      </c>
      <c r="F171" t="s">
        <v>97</v>
      </c>
      <c r="G171">
        <v>153</v>
      </c>
      <c r="H171" s="10">
        <v>500</v>
      </c>
      <c r="I171" s="10">
        <v>76500</v>
      </c>
      <c r="J171">
        <v>3</v>
      </c>
      <c r="K171" s="10">
        <v>1500</v>
      </c>
      <c r="L171">
        <v>150</v>
      </c>
      <c r="M171" s="10">
        <v>75000</v>
      </c>
      <c r="N171" t="s">
        <v>62</v>
      </c>
    </row>
    <row r="172" spans="1:14" x14ac:dyDescent="0.35">
      <c r="A172" t="s">
        <v>306</v>
      </c>
      <c r="B172" s="9">
        <v>45434</v>
      </c>
      <c r="C172" t="s">
        <v>18</v>
      </c>
      <c r="D172" t="s">
        <v>93</v>
      </c>
      <c r="E172" t="s">
        <v>20</v>
      </c>
      <c r="F172" t="s">
        <v>36</v>
      </c>
      <c r="G172">
        <v>108</v>
      </c>
      <c r="H172" s="10">
        <v>900</v>
      </c>
      <c r="I172" s="10">
        <v>97200</v>
      </c>
      <c r="J172">
        <v>1</v>
      </c>
      <c r="K172" s="10">
        <v>900</v>
      </c>
      <c r="L172">
        <v>107</v>
      </c>
      <c r="M172" s="10">
        <v>96300</v>
      </c>
      <c r="N172" t="s">
        <v>122</v>
      </c>
    </row>
    <row r="173" spans="1:14" x14ac:dyDescent="0.35">
      <c r="A173" t="s">
        <v>675</v>
      </c>
      <c r="B173" s="9">
        <v>45434</v>
      </c>
      <c r="C173" t="s">
        <v>44</v>
      </c>
      <c r="D173" t="s">
        <v>93</v>
      </c>
      <c r="E173" t="s">
        <v>14</v>
      </c>
      <c r="F173" t="s">
        <v>72</v>
      </c>
      <c r="G173">
        <v>176</v>
      </c>
      <c r="H173" s="10">
        <v>400</v>
      </c>
      <c r="I173" s="10">
        <v>70400</v>
      </c>
      <c r="J173">
        <v>16</v>
      </c>
      <c r="K173" s="10">
        <v>6400</v>
      </c>
      <c r="L173">
        <v>160</v>
      </c>
      <c r="M173" s="10">
        <v>64000</v>
      </c>
      <c r="N173" t="s">
        <v>33</v>
      </c>
    </row>
    <row r="174" spans="1:14" x14ac:dyDescent="0.35">
      <c r="A174" t="s">
        <v>179</v>
      </c>
      <c r="B174" s="9">
        <v>45435</v>
      </c>
      <c r="C174" t="s">
        <v>44</v>
      </c>
      <c r="D174" t="s">
        <v>93</v>
      </c>
      <c r="E174" t="s">
        <v>20</v>
      </c>
      <c r="F174" t="s">
        <v>755</v>
      </c>
      <c r="G174">
        <v>67</v>
      </c>
      <c r="H174" s="10">
        <v>3500</v>
      </c>
      <c r="I174" s="10">
        <v>234500</v>
      </c>
      <c r="J174">
        <v>0</v>
      </c>
      <c r="K174" s="10">
        <v>0</v>
      </c>
      <c r="L174">
        <v>67</v>
      </c>
      <c r="M174" s="10">
        <v>234500</v>
      </c>
      <c r="N174" t="s">
        <v>122</v>
      </c>
    </row>
    <row r="175" spans="1:14" x14ac:dyDescent="0.35">
      <c r="A175" t="s">
        <v>474</v>
      </c>
      <c r="B175" s="9">
        <v>45435</v>
      </c>
      <c r="C175" t="s">
        <v>96</v>
      </c>
      <c r="D175" t="s">
        <v>13</v>
      </c>
      <c r="E175" t="s">
        <v>14</v>
      </c>
      <c r="F175" t="s">
        <v>70</v>
      </c>
      <c r="G175">
        <v>65</v>
      </c>
      <c r="H175" s="10">
        <v>1800</v>
      </c>
      <c r="I175" s="10">
        <v>117000</v>
      </c>
      <c r="J175">
        <v>5</v>
      </c>
      <c r="K175" s="10">
        <v>9000</v>
      </c>
      <c r="L175">
        <v>60</v>
      </c>
      <c r="M175" s="10">
        <v>108000</v>
      </c>
      <c r="N175" t="s">
        <v>62</v>
      </c>
    </row>
    <row r="176" spans="1:14" x14ac:dyDescent="0.35">
      <c r="A176" t="s">
        <v>187</v>
      </c>
      <c r="B176" s="9">
        <v>45436</v>
      </c>
      <c r="C176" t="s">
        <v>25</v>
      </c>
      <c r="D176" t="s">
        <v>19</v>
      </c>
      <c r="E176" t="s">
        <v>14</v>
      </c>
      <c r="F176" t="s">
        <v>61</v>
      </c>
      <c r="G176">
        <v>31</v>
      </c>
      <c r="H176" s="10">
        <v>2200</v>
      </c>
      <c r="I176" s="10">
        <v>68200</v>
      </c>
      <c r="J176">
        <v>0</v>
      </c>
      <c r="K176" s="10">
        <v>0</v>
      </c>
      <c r="L176">
        <v>31</v>
      </c>
      <c r="M176" s="10">
        <v>68200</v>
      </c>
      <c r="N176" t="s">
        <v>122</v>
      </c>
    </row>
    <row r="177" spans="1:14" x14ac:dyDescent="0.35">
      <c r="A177" t="s">
        <v>626</v>
      </c>
      <c r="B177" s="9">
        <v>45436</v>
      </c>
      <c r="C177" t="s">
        <v>44</v>
      </c>
      <c r="D177" t="s">
        <v>753</v>
      </c>
      <c r="E177" t="s">
        <v>14</v>
      </c>
      <c r="F177" t="s">
        <v>15</v>
      </c>
      <c r="G177">
        <v>145</v>
      </c>
      <c r="H177" s="10">
        <v>0</v>
      </c>
      <c r="I177" s="10">
        <v>0</v>
      </c>
      <c r="J177">
        <v>11</v>
      </c>
      <c r="K177" s="10">
        <v>0</v>
      </c>
      <c r="L177">
        <v>134</v>
      </c>
      <c r="M177" s="10">
        <v>0</v>
      </c>
      <c r="N177" t="s">
        <v>122</v>
      </c>
    </row>
    <row r="178" spans="1:14" x14ac:dyDescent="0.35">
      <c r="A178" t="s">
        <v>690</v>
      </c>
      <c r="B178" s="9">
        <v>45436</v>
      </c>
      <c r="C178" t="s">
        <v>44</v>
      </c>
      <c r="D178" t="s">
        <v>79</v>
      </c>
      <c r="E178" t="s">
        <v>31</v>
      </c>
      <c r="F178" t="s">
        <v>81</v>
      </c>
      <c r="G178">
        <v>56</v>
      </c>
      <c r="H178" s="10">
        <v>650</v>
      </c>
      <c r="I178" s="10">
        <v>36400</v>
      </c>
      <c r="J178">
        <v>3</v>
      </c>
      <c r="K178" s="10">
        <v>1950</v>
      </c>
      <c r="L178">
        <v>53</v>
      </c>
      <c r="M178" s="10">
        <v>34450</v>
      </c>
      <c r="N178" t="s">
        <v>62</v>
      </c>
    </row>
    <row r="179" spans="1:14" x14ac:dyDescent="0.35">
      <c r="A179" t="s">
        <v>226</v>
      </c>
      <c r="B179" s="9">
        <v>45437</v>
      </c>
      <c r="C179" t="s">
        <v>51</v>
      </c>
      <c r="D179" t="s">
        <v>35</v>
      </c>
      <c r="E179" t="s">
        <v>20</v>
      </c>
      <c r="F179" t="s">
        <v>52</v>
      </c>
      <c r="G179">
        <v>140</v>
      </c>
      <c r="H179" s="10">
        <v>450</v>
      </c>
      <c r="I179" s="10">
        <v>63000</v>
      </c>
      <c r="J179">
        <v>0</v>
      </c>
      <c r="K179" s="10">
        <v>0</v>
      </c>
      <c r="L179">
        <v>140</v>
      </c>
      <c r="M179" s="10">
        <v>63000</v>
      </c>
      <c r="N179" t="s">
        <v>33</v>
      </c>
    </row>
    <row r="180" spans="1:14" x14ac:dyDescent="0.35">
      <c r="A180" t="s">
        <v>252</v>
      </c>
      <c r="B180" s="9">
        <v>45437</v>
      </c>
      <c r="C180" t="s">
        <v>44</v>
      </c>
      <c r="D180" t="s">
        <v>54</v>
      </c>
      <c r="E180" t="s">
        <v>20</v>
      </c>
      <c r="F180" t="s">
        <v>133</v>
      </c>
      <c r="G180">
        <v>61</v>
      </c>
      <c r="H180" s="10">
        <v>1200</v>
      </c>
      <c r="I180" s="10">
        <v>73200</v>
      </c>
      <c r="J180">
        <v>0</v>
      </c>
      <c r="K180" s="10">
        <v>0</v>
      </c>
      <c r="L180">
        <v>61</v>
      </c>
      <c r="M180" s="10">
        <v>73200</v>
      </c>
      <c r="N180" t="s">
        <v>33</v>
      </c>
    </row>
    <row r="181" spans="1:14" x14ac:dyDescent="0.35">
      <c r="A181" t="s">
        <v>338</v>
      </c>
      <c r="B181" s="9">
        <v>45437</v>
      </c>
      <c r="C181" t="s">
        <v>74</v>
      </c>
      <c r="D181" t="s">
        <v>41</v>
      </c>
      <c r="E181" t="s">
        <v>31</v>
      </c>
      <c r="F181" t="s">
        <v>55</v>
      </c>
      <c r="G181">
        <v>51</v>
      </c>
      <c r="H181" s="10">
        <v>1100</v>
      </c>
      <c r="I181" s="10">
        <v>56100</v>
      </c>
      <c r="J181">
        <v>1</v>
      </c>
      <c r="K181" s="10">
        <v>1100</v>
      </c>
      <c r="L181">
        <v>50</v>
      </c>
      <c r="M181" s="10">
        <v>55000</v>
      </c>
      <c r="N181" t="s">
        <v>33</v>
      </c>
    </row>
    <row r="182" spans="1:14" x14ac:dyDescent="0.35">
      <c r="A182" t="s">
        <v>426</v>
      </c>
      <c r="B182" s="9">
        <v>45437</v>
      </c>
      <c r="C182" t="s">
        <v>44</v>
      </c>
      <c r="D182" t="s">
        <v>19</v>
      </c>
      <c r="E182" t="s">
        <v>14</v>
      </c>
      <c r="F182" t="s">
        <v>15</v>
      </c>
      <c r="G182">
        <v>32</v>
      </c>
      <c r="H182" s="10">
        <v>1200</v>
      </c>
      <c r="I182" s="10">
        <v>38400</v>
      </c>
      <c r="J182">
        <v>3</v>
      </c>
      <c r="K182" s="10">
        <v>3600</v>
      </c>
      <c r="L182">
        <v>29</v>
      </c>
      <c r="M182" s="10">
        <v>34800</v>
      </c>
      <c r="N182" t="s">
        <v>122</v>
      </c>
    </row>
    <row r="183" spans="1:14" x14ac:dyDescent="0.35">
      <c r="A183" t="s">
        <v>432</v>
      </c>
      <c r="B183" s="9">
        <v>45437</v>
      </c>
      <c r="C183" t="s">
        <v>51</v>
      </c>
      <c r="D183" t="s">
        <v>93</v>
      </c>
      <c r="E183" t="s">
        <v>14</v>
      </c>
      <c r="F183" t="s">
        <v>61</v>
      </c>
      <c r="G183">
        <v>134</v>
      </c>
      <c r="H183" s="10">
        <v>2200</v>
      </c>
      <c r="I183" s="10">
        <v>294800</v>
      </c>
      <c r="J183">
        <v>0</v>
      </c>
      <c r="K183" s="10">
        <v>0</v>
      </c>
      <c r="L183">
        <v>134</v>
      </c>
      <c r="M183" s="10">
        <v>294800</v>
      </c>
      <c r="N183" t="s">
        <v>753</v>
      </c>
    </row>
    <row r="184" spans="1:14" x14ac:dyDescent="0.35">
      <c r="A184" t="s">
        <v>629</v>
      </c>
      <c r="B184" s="9">
        <v>45437</v>
      </c>
      <c r="C184" t="s">
        <v>44</v>
      </c>
      <c r="D184" t="s">
        <v>26</v>
      </c>
      <c r="E184" t="s">
        <v>20</v>
      </c>
      <c r="F184" t="s">
        <v>755</v>
      </c>
      <c r="G184">
        <v>19</v>
      </c>
      <c r="H184" s="10">
        <v>3500</v>
      </c>
      <c r="I184" s="10">
        <v>66500</v>
      </c>
      <c r="J184">
        <v>0</v>
      </c>
      <c r="K184" s="10">
        <v>0</v>
      </c>
      <c r="L184">
        <v>19</v>
      </c>
      <c r="M184" s="10">
        <v>66500</v>
      </c>
      <c r="N184" t="s">
        <v>33</v>
      </c>
    </row>
    <row r="185" spans="1:14" x14ac:dyDescent="0.35">
      <c r="A185" t="s">
        <v>116</v>
      </c>
      <c r="B185" s="9">
        <v>45439</v>
      </c>
      <c r="C185" t="s">
        <v>44</v>
      </c>
      <c r="D185" t="s">
        <v>65</v>
      </c>
      <c r="E185" t="s">
        <v>31</v>
      </c>
      <c r="F185" t="s">
        <v>55</v>
      </c>
      <c r="G185">
        <v>33</v>
      </c>
      <c r="H185" s="10">
        <v>1100</v>
      </c>
      <c r="I185" s="10">
        <v>36300</v>
      </c>
      <c r="J185">
        <v>0</v>
      </c>
      <c r="K185" s="10">
        <v>0</v>
      </c>
      <c r="L185">
        <v>33</v>
      </c>
      <c r="M185" s="10">
        <v>36300</v>
      </c>
      <c r="N185" t="s">
        <v>62</v>
      </c>
    </row>
    <row r="186" spans="1:14" x14ac:dyDescent="0.35">
      <c r="A186" t="s">
        <v>140</v>
      </c>
      <c r="B186" s="9">
        <v>45439</v>
      </c>
      <c r="C186" t="s">
        <v>25</v>
      </c>
      <c r="D186" t="s">
        <v>65</v>
      </c>
      <c r="E186" t="s">
        <v>20</v>
      </c>
      <c r="F186" t="s">
        <v>133</v>
      </c>
      <c r="G186">
        <v>72</v>
      </c>
      <c r="H186" s="10">
        <v>1200</v>
      </c>
      <c r="I186" s="10">
        <v>86400</v>
      </c>
      <c r="J186">
        <v>6</v>
      </c>
      <c r="K186" s="10">
        <v>7200</v>
      </c>
      <c r="L186">
        <v>66</v>
      </c>
      <c r="M186" s="10">
        <v>79200</v>
      </c>
      <c r="N186" t="s">
        <v>33</v>
      </c>
    </row>
    <row r="187" spans="1:14" x14ac:dyDescent="0.35">
      <c r="A187" t="s">
        <v>463</v>
      </c>
      <c r="B187" s="9">
        <v>45439</v>
      </c>
      <c r="C187" t="s">
        <v>18</v>
      </c>
      <c r="D187" t="s">
        <v>35</v>
      </c>
      <c r="E187" t="s">
        <v>20</v>
      </c>
      <c r="F187" t="s">
        <v>153</v>
      </c>
      <c r="G187">
        <v>164</v>
      </c>
      <c r="H187" s="10">
        <v>2800</v>
      </c>
      <c r="I187" s="10">
        <v>459200</v>
      </c>
      <c r="J187">
        <v>15</v>
      </c>
      <c r="K187" s="10">
        <v>42000</v>
      </c>
      <c r="L187">
        <v>149</v>
      </c>
      <c r="M187" s="10">
        <v>417200</v>
      </c>
      <c r="N187" t="s">
        <v>122</v>
      </c>
    </row>
    <row r="188" spans="1:14" x14ac:dyDescent="0.35">
      <c r="A188" t="s">
        <v>17</v>
      </c>
      <c r="B188" s="9">
        <v>45440</v>
      </c>
      <c r="C188" t="s">
        <v>18</v>
      </c>
      <c r="D188" t="s">
        <v>19</v>
      </c>
      <c r="E188" t="s">
        <v>20</v>
      </c>
      <c r="F188" t="s">
        <v>755</v>
      </c>
      <c r="G188">
        <v>29</v>
      </c>
      <c r="H188" s="10">
        <v>3500</v>
      </c>
      <c r="I188" s="10">
        <v>101500</v>
      </c>
      <c r="J188">
        <v>1</v>
      </c>
      <c r="K188" s="10">
        <v>3500</v>
      </c>
      <c r="L188">
        <v>28</v>
      </c>
      <c r="M188" s="10">
        <v>98000</v>
      </c>
      <c r="N188" t="s">
        <v>62</v>
      </c>
    </row>
    <row r="189" spans="1:14" x14ac:dyDescent="0.35">
      <c r="A189" t="s">
        <v>333</v>
      </c>
      <c r="B189" s="9">
        <v>45441</v>
      </c>
      <c r="C189" t="s">
        <v>18</v>
      </c>
      <c r="D189" t="s">
        <v>19</v>
      </c>
      <c r="E189" t="s">
        <v>14</v>
      </c>
      <c r="F189" t="s">
        <v>70</v>
      </c>
      <c r="G189">
        <v>67</v>
      </c>
      <c r="H189" s="10">
        <v>1800</v>
      </c>
      <c r="I189" s="10">
        <v>120600</v>
      </c>
      <c r="J189">
        <v>5</v>
      </c>
      <c r="K189" s="10">
        <v>9000</v>
      </c>
      <c r="L189">
        <v>62</v>
      </c>
      <c r="M189" s="10">
        <v>111600</v>
      </c>
      <c r="N189" t="s">
        <v>33</v>
      </c>
    </row>
    <row r="190" spans="1:14" x14ac:dyDescent="0.35">
      <c r="A190" t="s">
        <v>166</v>
      </c>
      <c r="B190" s="9">
        <v>45443</v>
      </c>
      <c r="C190" t="s">
        <v>74</v>
      </c>
      <c r="D190" t="s">
        <v>54</v>
      </c>
      <c r="E190" t="s">
        <v>20</v>
      </c>
      <c r="F190" t="s">
        <v>52</v>
      </c>
      <c r="G190">
        <v>108</v>
      </c>
      <c r="H190" s="10">
        <v>450</v>
      </c>
      <c r="I190" s="10">
        <v>48600</v>
      </c>
      <c r="J190">
        <v>2</v>
      </c>
      <c r="K190" s="10">
        <v>900</v>
      </c>
      <c r="L190">
        <v>106</v>
      </c>
      <c r="M190" s="10">
        <v>47700</v>
      </c>
      <c r="N190" t="s">
        <v>753</v>
      </c>
    </row>
    <row r="191" spans="1:14" x14ac:dyDescent="0.35">
      <c r="A191" t="s">
        <v>523</v>
      </c>
      <c r="B191" s="9">
        <v>45444</v>
      </c>
      <c r="C191" t="s">
        <v>25</v>
      </c>
      <c r="D191" t="s">
        <v>79</v>
      </c>
      <c r="E191" t="s">
        <v>20</v>
      </c>
      <c r="F191" t="s">
        <v>52</v>
      </c>
      <c r="G191">
        <v>89</v>
      </c>
      <c r="H191" s="10">
        <v>450</v>
      </c>
      <c r="I191" s="10">
        <v>40050</v>
      </c>
      <c r="J191">
        <v>0</v>
      </c>
      <c r="K191" s="10">
        <v>0</v>
      </c>
      <c r="L191">
        <v>89</v>
      </c>
      <c r="M191" s="10">
        <v>40050</v>
      </c>
      <c r="N191" t="s">
        <v>33</v>
      </c>
    </row>
    <row r="192" spans="1:14" x14ac:dyDescent="0.35">
      <c r="A192" t="s">
        <v>260</v>
      </c>
      <c r="B192" s="9">
        <v>45445</v>
      </c>
      <c r="C192" t="s">
        <v>25</v>
      </c>
      <c r="D192" t="s">
        <v>49</v>
      </c>
      <c r="E192" t="s">
        <v>14</v>
      </c>
      <c r="F192" t="s">
        <v>72</v>
      </c>
      <c r="G192">
        <v>111</v>
      </c>
      <c r="H192" s="10">
        <v>400</v>
      </c>
      <c r="I192" s="10">
        <v>44400</v>
      </c>
      <c r="J192">
        <v>6</v>
      </c>
      <c r="K192" s="10">
        <v>2400</v>
      </c>
      <c r="L192">
        <v>105</v>
      </c>
      <c r="M192" s="10">
        <v>42000</v>
      </c>
      <c r="N192" t="s">
        <v>122</v>
      </c>
    </row>
    <row r="193" spans="1:14" x14ac:dyDescent="0.35">
      <c r="A193" t="s">
        <v>263</v>
      </c>
      <c r="B193" s="9">
        <v>45445</v>
      </c>
      <c r="C193" t="s">
        <v>18</v>
      </c>
      <c r="D193" t="s">
        <v>41</v>
      </c>
      <c r="E193" t="s">
        <v>20</v>
      </c>
      <c r="F193" t="s">
        <v>153</v>
      </c>
      <c r="G193">
        <v>78</v>
      </c>
      <c r="H193" s="10">
        <v>2800</v>
      </c>
      <c r="I193" s="10">
        <v>218400</v>
      </c>
      <c r="J193">
        <v>4</v>
      </c>
      <c r="K193" s="10">
        <v>11200</v>
      </c>
      <c r="L193">
        <v>74</v>
      </c>
      <c r="M193" s="10">
        <v>207200</v>
      </c>
      <c r="N193" t="s">
        <v>122</v>
      </c>
    </row>
    <row r="194" spans="1:14" x14ac:dyDescent="0.35">
      <c r="A194" t="s">
        <v>604</v>
      </c>
      <c r="B194" s="9">
        <v>45445</v>
      </c>
      <c r="C194" t="s">
        <v>74</v>
      </c>
      <c r="D194" t="s">
        <v>79</v>
      </c>
      <c r="E194" t="s">
        <v>31</v>
      </c>
      <c r="F194" t="s">
        <v>58</v>
      </c>
      <c r="G194">
        <v>168</v>
      </c>
      <c r="H194" s="10">
        <v>850</v>
      </c>
      <c r="I194" s="10">
        <v>142800</v>
      </c>
      <c r="J194">
        <v>11</v>
      </c>
      <c r="K194" s="10">
        <v>9350</v>
      </c>
      <c r="L194">
        <v>157</v>
      </c>
      <c r="M194" s="10">
        <v>133450</v>
      </c>
      <c r="N194" t="s">
        <v>33</v>
      </c>
    </row>
    <row r="195" spans="1:14" x14ac:dyDescent="0.35">
      <c r="A195" t="s">
        <v>668</v>
      </c>
      <c r="B195" s="9">
        <v>45445</v>
      </c>
      <c r="C195" t="s">
        <v>18</v>
      </c>
      <c r="D195" t="s">
        <v>35</v>
      </c>
      <c r="E195" t="s">
        <v>14</v>
      </c>
      <c r="F195" t="s">
        <v>70</v>
      </c>
      <c r="G195">
        <v>120</v>
      </c>
      <c r="H195" s="10">
        <v>1800</v>
      </c>
      <c r="I195" s="10">
        <v>216000</v>
      </c>
      <c r="J195">
        <v>10</v>
      </c>
      <c r="K195" s="10">
        <v>18000</v>
      </c>
      <c r="L195">
        <v>110</v>
      </c>
      <c r="M195" s="10">
        <v>198000</v>
      </c>
      <c r="N195" t="s">
        <v>122</v>
      </c>
    </row>
    <row r="196" spans="1:14" x14ac:dyDescent="0.35">
      <c r="A196" t="s">
        <v>396</v>
      </c>
      <c r="B196" s="9">
        <v>45446</v>
      </c>
      <c r="C196" t="s">
        <v>96</v>
      </c>
      <c r="D196" t="s">
        <v>26</v>
      </c>
      <c r="E196" t="s">
        <v>14</v>
      </c>
      <c r="F196" t="s">
        <v>61</v>
      </c>
      <c r="G196">
        <v>179</v>
      </c>
      <c r="H196" s="10">
        <v>2200</v>
      </c>
      <c r="I196" s="10">
        <v>393800</v>
      </c>
      <c r="J196">
        <v>13</v>
      </c>
      <c r="K196" s="10">
        <v>28600</v>
      </c>
      <c r="L196">
        <v>166</v>
      </c>
      <c r="M196" s="10">
        <v>365200</v>
      </c>
      <c r="N196" t="s">
        <v>122</v>
      </c>
    </row>
    <row r="197" spans="1:14" x14ac:dyDescent="0.35">
      <c r="A197" t="s">
        <v>529</v>
      </c>
      <c r="B197" s="9">
        <v>45447</v>
      </c>
      <c r="C197" t="s">
        <v>74</v>
      </c>
      <c r="D197" t="s">
        <v>79</v>
      </c>
      <c r="E197" t="s">
        <v>20</v>
      </c>
      <c r="F197" t="s">
        <v>133</v>
      </c>
      <c r="G197">
        <v>171</v>
      </c>
      <c r="H197" s="10">
        <v>1200</v>
      </c>
      <c r="I197" s="10">
        <v>205200</v>
      </c>
      <c r="J197">
        <v>2</v>
      </c>
      <c r="K197" s="10">
        <v>2400</v>
      </c>
      <c r="L197">
        <v>169</v>
      </c>
      <c r="M197" s="10">
        <v>202800</v>
      </c>
      <c r="N197" t="s">
        <v>62</v>
      </c>
    </row>
    <row r="198" spans="1:14" x14ac:dyDescent="0.35">
      <c r="A198" t="s">
        <v>673</v>
      </c>
      <c r="B198" s="9">
        <v>45447</v>
      </c>
      <c r="C198" t="s">
        <v>25</v>
      </c>
      <c r="D198" t="s">
        <v>65</v>
      </c>
      <c r="E198" t="s">
        <v>20</v>
      </c>
      <c r="F198" t="s">
        <v>755</v>
      </c>
      <c r="G198">
        <v>100</v>
      </c>
      <c r="H198" s="10">
        <v>3500</v>
      </c>
      <c r="I198" s="10">
        <v>350000</v>
      </c>
      <c r="J198">
        <v>1</v>
      </c>
      <c r="K198" s="10">
        <v>3500</v>
      </c>
      <c r="L198">
        <v>99</v>
      </c>
      <c r="M198" s="10">
        <v>346500</v>
      </c>
      <c r="N198" t="s">
        <v>122</v>
      </c>
    </row>
    <row r="199" spans="1:14" x14ac:dyDescent="0.35">
      <c r="A199" t="s">
        <v>636</v>
      </c>
      <c r="B199" s="9">
        <v>45448</v>
      </c>
      <c r="C199" t="s">
        <v>44</v>
      </c>
      <c r="D199" t="s">
        <v>79</v>
      </c>
      <c r="E199" t="s">
        <v>14</v>
      </c>
      <c r="F199" t="s">
        <v>99</v>
      </c>
      <c r="G199">
        <v>27</v>
      </c>
      <c r="H199" s="10">
        <v>1500</v>
      </c>
      <c r="I199" s="10">
        <v>40500</v>
      </c>
      <c r="J199">
        <v>0</v>
      </c>
      <c r="K199" s="10">
        <v>0</v>
      </c>
      <c r="L199">
        <v>27</v>
      </c>
      <c r="M199" s="10">
        <v>40500</v>
      </c>
      <c r="N199" t="s">
        <v>122</v>
      </c>
    </row>
    <row r="200" spans="1:14" x14ac:dyDescent="0.35">
      <c r="A200" t="s">
        <v>249</v>
      </c>
      <c r="B200" s="9">
        <v>45449</v>
      </c>
      <c r="C200" t="s">
        <v>96</v>
      </c>
      <c r="D200" t="s">
        <v>41</v>
      </c>
      <c r="E200" t="s">
        <v>31</v>
      </c>
      <c r="F200" t="s">
        <v>159</v>
      </c>
      <c r="G200">
        <v>57</v>
      </c>
      <c r="H200" s="10">
        <v>1800</v>
      </c>
      <c r="I200" s="10">
        <v>102600</v>
      </c>
      <c r="J200">
        <v>0</v>
      </c>
      <c r="K200" s="10">
        <v>0</v>
      </c>
      <c r="L200">
        <v>57</v>
      </c>
      <c r="M200" s="10">
        <v>102600</v>
      </c>
      <c r="N200" t="s">
        <v>62</v>
      </c>
    </row>
    <row r="201" spans="1:14" x14ac:dyDescent="0.35">
      <c r="A201" t="s">
        <v>264</v>
      </c>
      <c r="B201" s="9">
        <v>45449</v>
      </c>
      <c r="C201" t="s">
        <v>18</v>
      </c>
      <c r="D201" t="s">
        <v>41</v>
      </c>
      <c r="E201" t="s">
        <v>31</v>
      </c>
      <c r="F201" t="s">
        <v>45</v>
      </c>
      <c r="G201">
        <v>192</v>
      </c>
      <c r="H201" s="10">
        <v>1200</v>
      </c>
      <c r="I201" s="10">
        <v>230400</v>
      </c>
      <c r="J201">
        <v>4</v>
      </c>
      <c r="K201" s="10">
        <v>4800</v>
      </c>
      <c r="L201">
        <v>188</v>
      </c>
      <c r="M201" s="10">
        <v>225600</v>
      </c>
      <c r="N201" t="s">
        <v>122</v>
      </c>
    </row>
    <row r="202" spans="1:14" x14ac:dyDescent="0.35">
      <c r="A202" t="s">
        <v>623</v>
      </c>
      <c r="B202" s="9">
        <v>45449</v>
      </c>
      <c r="C202" t="s">
        <v>18</v>
      </c>
      <c r="D202" t="s">
        <v>26</v>
      </c>
      <c r="E202" t="s">
        <v>14</v>
      </c>
      <c r="F202" t="s">
        <v>70</v>
      </c>
      <c r="G202">
        <v>27</v>
      </c>
      <c r="H202" s="10">
        <v>1800</v>
      </c>
      <c r="I202" s="10">
        <v>48600</v>
      </c>
      <c r="J202">
        <v>0</v>
      </c>
      <c r="K202" s="10">
        <v>0</v>
      </c>
      <c r="L202">
        <v>27</v>
      </c>
      <c r="M202" s="10">
        <v>48600</v>
      </c>
      <c r="N202" t="s">
        <v>122</v>
      </c>
    </row>
    <row r="203" spans="1:14" x14ac:dyDescent="0.35">
      <c r="A203" t="s">
        <v>150</v>
      </c>
      <c r="B203" s="9">
        <v>45450</v>
      </c>
      <c r="C203" t="s">
        <v>96</v>
      </c>
      <c r="D203" t="s">
        <v>13</v>
      </c>
      <c r="E203" t="s">
        <v>14</v>
      </c>
      <c r="F203" t="s">
        <v>72</v>
      </c>
      <c r="G203">
        <v>197</v>
      </c>
      <c r="H203" s="10">
        <v>400</v>
      </c>
      <c r="I203" s="10">
        <v>78800</v>
      </c>
      <c r="J203">
        <v>0</v>
      </c>
      <c r="K203" s="10">
        <v>0</v>
      </c>
      <c r="L203">
        <v>197</v>
      </c>
      <c r="M203" s="10">
        <v>78800</v>
      </c>
      <c r="N203" t="s">
        <v>33</v>
      </c>
    </row>
    <row r="204" spans="1:14" x14ac:dyDescent="0.35">
      <c r="A204" t="s">
        <v>622</v>
      </c>
      <c r="B204" s="9">
        <v>45450</v>
      </c>
      <c r="C204" t="s">
        <v>18</v>
      </c>
      <c r="D204" t="s">
        <v>54</v>
      </c>
      <c r="E204" t="s">
        <v>14</v>
      </c>
      <c r="F204" t="s">
        <v>754</v>
      </c>
      <c r="G204">
        <v>128</v>
      </c>
      <c r="H204" s="10">
        <v>700</v>
      </c>
      <c r="I204" s="10">
        <v>89600</v>
      </c>
      <c r="J204">
        <v>7</v>
      </c>
      <c r="K204" s="10">
        <v>4900</v>
      </c>
      <c r="L204">
        <v>121</v>
      </c>
      <c r="M204" s="10">
        <v>84700</v>
      </c>
      <c r="N204" t="s">
        <v>33</v>
      </c>
    </row>
    <row r="205" spans="1:14" x14ac:dyDescent="0.35">
      <c r="A205" t="s">
        <v>570</v>
      </c>
      <c r="B205" s="9">
        <v>45451</v>
      </c>
      <c r="C205" t="s">
        <v>25</v>
      </c>
      <c r="D205" t="s">
        <v>49</v>
      </c>
      <c r="E205" t="s">
        <v>14</v>
      </c>
      <c r="F205" t="s">
        <v>72</v>
      </c>
      <c r="G205">
        <v>62</v>
      </c>
      <c r="H205" s="10">
        <v>400</v>
      </c>
      <c r="I205" s="10">
        <v>24800</v>
      </c>
      <c r="J205">
        <v>5</v>
      </c>
      <c r="K205" s="10">
        <v>2000</v>
      </c>
      <c r="L205">
        <v>57</v>
      </c>
      <c r="M205" s="10">
        <v>22800</v>
      </c>
      <c r="N205" t="s">
        <v>122</v>
      </c>
    </row>
    <row r="206" spans="1:14" x14ac:dyDescent="0.35">
      <c r="A206" t="s">
        <v>184</v>
      </c>
      <c r="B206" s="9">
        <v>45452</v>
      </c>
      <c r="C206" t="s">
        <v>18</v>
      </c>
      <c r="D206" t="s">
        <v>13</v>
      </c>
      <c r="E206" t="s">
        <v>31</v>
      </c>
      <c r="F206" t="s">
        <v>159</v>
      </c>
      <c r="G206">
        <v>196</v>
      </c>
      <c r="H206" s="10">
        <v>1800</v>
      </c>
      <c r="I206" s="10">
        <v>352800</v>
      </c>
      <c r="J206">
        <v>16</v>
      </c>
      <c r="K206" s="10">
        <v>28800</v>
      </c>
      <c r="L206">
        <v>180</v>
      </c>
      <c r="M206" s="10">
        <v>324000</v>
      </c>
      <c r="N206" t="s">
        <v>33</v>
      </c>
    </row>
    <row r="207" spans="1:14" x14ac:dyDescent="0.35">
      <c r="A207" t="s">
        <v>402</v>
      </c>
      <c r="B207" s="9">
        <v>45452</v>
      </c>
      <c r="C207" t="s">
        <v>51</v>
      </c>
      <c r="D207" t="s">
        <v>79</v>
      </c>
      <c r="E207" t="s">
        <v>14</v>
      </c>
      <c r="F207" t="s">
        <v>15</v>
      </c>
      <c r="G207">
        <v>29</v>
      </c>
      <c r="H207" s="10">
        <v>1200</v>
      </c>
      <c r="I207" s="10">
        <v>34800</v>
      </c>
      <c r="J207">
        <v>0</v>
      </c>
      <c r="K207" s="10">
        <v>0</v>
      </c>
      <c r="L207">
        <v>29</v>
      </c>
      <c r="M207" s="10">
        <v>34800</v>
      </c>
      <c r="N207" t="s">
        <v>33</v>
      </c>
    </row>
    <row r="208" spans="1:14" x14ac:dyDescent="0.35">
      <c r="A208" t="s">
        <v>139</v>
      </c>
      <c r="B208" s="9">
        <v>45453</v>
      </c>
      <c r="C208" t="s">
        <v>74</v>
      </c>
      <c r="D208" t="s">
        <v>35</v>
      </c>
      <c r="E208" t="s">
        <v>20</v>
      </c>
      <c r="F208" t="s">
        <v>52</v>
      </c>
      <c r="G208">
        <v>170</v>
      </c>
      <c r="H208" s="10">
        <v>450</v>
      </c>
      <c r="I208" s="10">
        <v>76500</v>
      </c>
      <c r="J208">
        <v>3</v>
      </c>
      <c r="K208" s="10">
        <v>1350</v>
      </c>
      <c r="L208">
        <v>167</v>
      </c>
      <c r="M208" s="10">
        <v>75150</v>
      </c>
      <c r="N208" t="s">
        <v>33</v>
      </c>
    </row>
    <row r="209" spans="1:14" x14ac:dyDescent="0.35">
      <c r="A209" t="s">
        <v>440</v>
      </c>
      <c r="B209" s="9">
        <v>45453</v>
      </c>
      <c r="C209" t="s">
        <v>25</v>
      </c>
      <c r="D209" t="s">
        <v>49</v>
      </c>
      <c r="E209" t="s">
        <v>20</v>
      </c>
      <c r="F209" t="s">
        <v>97</v>
      </c>
      <c r="G209">
        <v>168</v>
      </c>
      <c r="H209" s="10">
        <v>500</v>
      </c>
      <c r="I209" s="10">
        <v>84000</v>
      </c>
      <c r="J209">
        <v>12</v>
      </c>
      <c r="K209" s="10">
        <v>6000</v>
      </c>
      <c r="L209">
        <v>156</v>
      </c>
      <c r="M209" s="10">
        <v>78000</v>
      </c>
      <c r="N209" t="s">
        <v>122</v>
      </c>
    </row>
    <row r="210" spans="1:14" x14ac:dyDescent="0.35">
      <c r="A210" t="s">
        <v>84</v>
      </c>
      <c r="B210" s="9">
        <v>45454</v>
      </c>
      <c r="C210" t="s">
        <v>44</v>
      </c>
      <c r="D210" t="s">
        <v>13</v>
      </c>
      <c r="E210" t="s">
        <v>14</v>
      </c>
      <c r="F210" t="s">
        <v>15</v>
      </c>
      <c r="G210">
        <v>103</v>
      </c>
      <c r="H210" s="10">
        <v>1200</v>
      </c>
      <c r="I210" s="10">
        <v>123600</v>
      </c>
      <c r="J210">
        <v>1</v>
      </c>
      <c r="K210" s="10">
        <v>1200</v>
      </c>
      <c r="L210">
        <v>102</v>
      </c>
      <c r="M210" s="10">
        <v>122400</v>
      </c>
      <c r="N210" t="s">
        <v>122</v>
      </c>
    </row>
    <row r="211" spans="1:14" x14ac:dyDescent="0.35">
      <c r="A211" t="s">
        <v>189</v>
      </c>
      <c r="B211" s="9">
        <v>45455</v>
      </c>
      <c r="C211" t="s">
        <v>74</v>
      </c>
      <c r="D211" t="s">
        <v>49</v>
      </c>
      <c r="E211" t="s">
        <v>14</v>
      </c>
      <c r="F211" t="s">
        <v>15</v>
      </c>
      <c r="G211">
        <v>5</v>
      </c>
      <c r="H211" s="10">
        <v>1200</v>
      </c>
      <c r="I211" s="10">
        <v>6000</v>
      </c>
      <c r="J211">
        <v>0</v>
      </c>
      <c r="K211" s="10">
        <v>0</v>
      </c>
      <c r="L211">
        <v>5</v>
      </c>
      <c r="M211" s="10">
        <v>6000</v>
      </c>
      <c r="N211" t="s">
        <v>122</v>
      </c>
    </row>
    <row r="212" spans="1:14" x14ac:dyDescent="0.35">
      <c r="A212" t="s">
        <v>296</v>
      </c>
      <c r="B212" s="9">
        <v>45455</v>
      </c>
      <c r="C212" t="s">
        <v>18</v>
      </c>
      <c r="D212" t="s">
        <v>41</v>
      </c>
      <c r="E212" t="s">
        <v>31</v>
      </c>
      <c r="F212" t="s">
        <v>58</v>
      </c>
      <c r="G212">
        <v>140</v>
      </c>
      <c r="H212" s="10">
        <v>850</v>
      </c>
      <c r="I212" s="10">
        <v>119000</v>
      </c>
      <c r="J212">
        <v>0</v>
      </c>
      <c r="K212" s="10">
        <v>0</v>
      </c>
      <c r="L212">
        <v>140</v>
      </c>
      <c r="M212" s="10">
        <v>119000</v>
      </c>
      <c r="N212" t="s">
        <v>122</v>
      </c>
    </row>
    <row r="213" spans="1:14" x14ac:dyDescent="0.35">
      <c r="A213" t="s">
        <v>220</v>
      </c>
      <c r="B213" s="9">
        <v>45457</v>
      </c>
      <c r="C213" t="s">
        <v>96</v>
      </c>
      <c r="D213" t="s">
        <v>13</v>
      </c>
      <c r="E213" t="s">
        <v>20</v>
      </c>
      <c r="F213" t="s">
        <v>36</v>
      </c>
      <c r="G213">
        <v>186</v>
      </c>
      <c r="H213" s="10">
        <v>900</v>
      </c>
      <c r="I213" s="10">
        <v>167400</v>
      </c>
      <c r="J213">
        <v>1</v>
      </c>
      <c r="K213" s="10">
        <v>900</v>
      </c>
      <c r="L213">
        <v>185</v>
      </c>
      <c r="M213" s="10">
        <v>166500</v>
      </c>
      <c r="N213" t="s">
        <v>62</v>
      </c>
    </row>
    <row r="214" spans="1:14" x14ac:dyDescent="0.35">
      <c r="A214" t="s">
        <v>411</v>
      </c>
      <c r="B214" s="9">
        <v>45457</v>
      </c>
      <c r="C214" t="s">
        <v>74</v>
      </c>
      <c r="D214" t="s">
        <v>41</v>
      </c>
      <c r="E214" t="s">
        <v>20</v>
      </c>
      <c r="F214" t="s">
        <v>133</v>
      </c>
      <c r="G214">
        <v>33</v>
      </c>
      <c r="H214" s="10">
        <v>1200</v>
      </c>
      <c r="I214" s="10">
        <v>39600</v>
      </c>
      <c r="J214">
        <v>3</v>
      </c>
      <c r="K214" s="10">
        <v>3600</v>
      </c>
      <c r="L214">
        <v>30</v>
      </c>
      <c r="M214" s="10">
        <v>36000</v>
      </c>
      <c r="N214" t="s">
        <v>122</v>
      </c>
    </row>
    <row r="215" spans="1:14" x14ac:dyDescent="0.35">
      <c r="A215" t="s">
        <v>475</v>
      </c>
      <c r="B215" s="9">
        <v>45457</v>
      </c>
      <c r="C215" t="s">
        <v>44</v>
      </c>
      <c r="D215" t="s">
        <v>65</v>
      </c>
      <c r="E215" t="s">
        <v>31</v>
      </c>
      <c r="F215" t="s">
        <v>159</v>
      </c>
      <c r="G215">
        <v>200</v>
      </c>
      <c r="H215" s="10">
        <v>1800</v>
      </c>
      <c r="I215" s="10">
        <v>360000</v>
      </c>
      <c r="J215">
        <v>20</v>
      </c>
      <c r="K215" s="10">
        <v>36000</v>
      </c>
      <c r="L215">
        <v>180</v>
      </c>
      <c r="M215" s="10">
        <v>324000</v>
      </c>
      <c r="N215" t="s">
        <v>122</v>
      </c>
    </row>
    <row r="216" spans="1:14" x14ac:dyDescent="0.35">
      <c r="A216" t="s">
        <v>689</v>
      </c>
      <c r="B216" s="9">
        <v>45457</v>
      </c>
      <c r="C216" t="s">
        <v>96</v>
      </c>
      <c r="D216" t="s">
        <v>93</v>
      </c>
      <c r="E216" t="s">
        <v>31</v>
      </c>
      <c r="F216" t="s">
        <v>58</v>
      </c>
      <c r="G216">
        <v>110</v>
      </c>
      <c r="H216" s="10">
        <v>850</v>
      </c>
      <c r="I216" s="10">
        <v>93500</v>
      </c>
      <c r="J216">
        <v>7</v>
      </c>
      <c r="K216" s="10">
        <v>5950</v>
      </c>
      <c r="L216">
        <v>103</v>
      </c>
      <c r="M216" s="10">
        <v>87550</v>
      </c>
      <c r="N216" t="s">
        <v>33</v>
      </c>
    </row>
    <row r="217" spans="1:14" x14ac:dyDescent="0.35">
      <c r="A217" t="s">
        <v>424</v>
      </c>
      <c r="B217" s="9">
        <v>45460</v>
      </c>
      <c r="C217" t="s">
        <v>25</v>
      </c>
      <c r="D217" t="s">
        <v>65</v>
      </c>
      <c r="E217" t="s">
        <v>20</v>
      </c>
      <c r="F217" t="s">
        <v>52</v>
      </c>
      <c r="G217">
        <v>113</v>
      </c>
      <c r="H217" s="10">
        <v>0</v>
      </c>
      <c r="I217" s="10">
        <v>0</v>
      </c>
      <c r="J217">
        <v>5</v>
      </c>
      <c r="K217" s="10">
        <v>0</v>
      </c>
      <c r="L217">
        <v>108</v>
      </c>
      <c r="M217" s="10">
        <v>0</v>
      </c>
      <c r="N217" t="s">
        <v>122</v>
      </c>
    </row>
    <row r="218" spans="1:14" x14ac:dyDescent="0.35">
      <c r="A218" t="s">
        <v>616</v>
      </c>
      <c r="B218" s="9">
        <v>45460</v>
      </c>
      <c r="C218" t="s">
        <v>74</v>
      </c>
      <c r="D218" t="s">
        <v>13</v>
      </c>
      <c r="E218" t="s">
        <v>20</v>
      </c>
      <c r="F218" t="s">
        <v>133</v>
      </c>
      <c r="G218">
        <v>153</v>
      </c>
      <c r="H218" s="10">
        <v>1200</v>
      </c>
      <c r="I218" s="10">
        <v>183600</v>
      </c>
      <c r="J218">
        <v>4</v>
      </c>
      <c r="K218" s="10">
        <v>4800</v>
      </c>
      <c r="L218">
        <v>149</v>
      </c>
      <c r="M218" s="10">
        <v>178800</v>
      </c>
      <c r="N218" t="s">
        <v>122</v>
      </c>
    </row>
    <row r="219" spans="1:14" x14ac:dyDescent="0.35">
      <c r="A219" t="s">
        <v>521</v>
      </c>
      <c r="B219" s="9">
        <v>45461</v>
      </c>
      <c r="C219" t="s">
        <v>96</v>
      </c>
      <c r="D219" t="s">
        <v>65</v>
      </c>
      <c r="E219" t="s">
        <v>31</v>
      </c>
      <c r="F219" t="s">
        <v>45</v>
      </c>
      <c r="G219">
        <v>71</v>
      </c>
      <c r="H219" s="10">
        <v>1200</v>
      </c>
      <c r="I219" s="10">
        <v>85200</v>
      </c>
      <c r="J219">
        <v>3</v>
      </c>
      <c r="K219" s="10">
        <v>3600</v>
      </c>
      <c r="L219">
        <v>68</v>
      </c>
      <c r="M219" s="10">
        <v>81600</v>
      </c>
      <c r="N219" t="s">
        <v>122</v>
      </c>
    </row>
    <row r="220" spans="1:14" x14ac:dyDescent="0.35">
      <c r="A220" t="s">
        <v>285</v>
      </c>
      <c r="B220" s="9">
        <v>45463</v>
      </c>
      <c r="C220" t="s">
        <v>44</v>
      </c>
      <c r="D220" t="s">
        <v>93</v>
      </c>
      <c r="E220" t="s">
        <v>20</v>
      </c>
      <c r="F220" t="s">
        <v>97</v>
      </c>
      <c r="G220">
        <v>18</v>
      </c>
      <c r="H220" s="10">
        <v>500</v>
      </c>
      <c r="I220" s="10">
        <v>9000</v>
      </c>
      <c r="J220">
        <v>0</v>
      </c>
      <c r="K220" s="10">
        <v>0</v>
      </c>
      <c r="L220">
        <v>18</v>
      </c>
      <c r="M220" s="10">
        <v>9000</v>
      </c>
      <c r="N220" t="s">
        <v>122</v>
      </c>
    </row>
    <row r="221" spans="1:14" x14ac:dyDescent="0.35">
      <c r="A221" t="s">
        <v>382</v>
      </c>
      <c r="B221" s="9">
        <v>45463</v>
      </c>
      <c r="C221" t="s">
        <v>74</v>
      </c>
      <c r="D221" t="s">
        <v>54</v>
      </c>
      <c r="E221" t="s">
        <v>31</v>
      </c>
      <c r="F221" t="s">
        <v>81</v>
      </c>
      <c r="G221">
        <v>187</v>
      </c>
      <c r="H221" s="10">
        <v>650</v>
      </c>
      <c r="I221" s="10">
        <v>121550</v>
      </c>
      <c r="J221">
        <v>9</v>
      </c>
      <c r="K221" s="10">
        <v>5850</v>
      </c>
      <c r="L221">
        <v>178</v>
      </c>
      <c r="M221" s="10">
        <v>115700</v>
      </c>
      <c r="N221" t="s">
        <v>33</v>
      </c>
    </row>
    <row r="222" spans="1:14" x14ac:dyDescent="0.35">
      <c r="A222" t="s">
        <v>633</v>
      </c>
      <c r="B222" s="9">
        <v>45463</v>
      </c>
      <c r="C222" t="s">
        <v>44</v>
      </c>
      <c r="D222" t="s">
        <v>79</v>
      </c>
      <c r="E222" t="s">
        <v>20</v>
      </c>
      <c r="F222" t="s">
        <v>153</v>
      </c>
      <c r="G222">
        <v>184</v>
      </c>
      <c r="H222" s="10">
        <v>2800</v>
      </c>
      <c r="I222" s="10">
        <v>515200</v>
      </c>
      <c r="J222">
        <v>8</v>
      </c>
      <c r="K222" s="10">
        <v>22400</v>
      </c>
      <c r="L222">
        <v>176</v>
      </c>
      <c r="M222" s="10">
        <v>492800</v>
      </c>
      <c r="N222" t="s">
        <v>122</v>
      </c>
    </row>
    <row r="223" spans="1:14" x14ac:dyDescent="0.35">
      <c r="A223" t="s">
        <v>56</v>
      </c>
      <c r="B223" s="9">
        <v>45464</v>
      </c>
      <c r="C223" t="s">
        <v>51</v>
      </c>
      <c r="D223" t="s">
        <v>49</v>
      </c>
      <c r="E223" t="s">
        <v>31</v>
      </c>
      <c r="F223" t="s">
        <v>58</v>
      </c>
      <c r="G223">
        <v>173</v>
      </c>
      <c r="H223" s="10">
        <v>850</v>
      </c>
      <c r="I223" s="10">
        <v>147050</v>
      </c>
      <c r="J223">
        <v>0</v>
      </c>
      <c r="K223" s="10">
        <v>0</v>
      </c>
      <c r="L223">
        <v>173</v>
      </c>
      <c r="M223" s="10">
        <v>147050</v>
      </c>
      <c r="N223" t="s">
        <v>122</v>
      </c>
    </row>
    <row r="224" spans="1:14" x14ac:dyDescent="0.35">
      <c r="A224" t="s">
        <v>704</v>
      </c>
      <c r="B224" s="9">
        <v>45464</v>
      </c>
      <c r="C224" t="s">
        <v>96</v>
      </c>
      <c r="D224" t="s">
        <v>49</v>
      </c>
      <c r="E224" t="s">
        <v>31</v>
      </c>
      <c r="F224" t="s">
        <v>81</v>
      </c>
      <c r="G224">
        <v>87</v>
      </c>
      <c r="H224" s="10">
        <v>650</v>
      </c>
      <c r="I224" s="10">
        <v>56550</v>
      </c>
      <c r="J224">
        <v>5</v>
      </c>
      <c r="K224" s="10">
        <v>3250</v>
      </c>
      <c r="L224">
        <v>82</v>
      </c>
      <c r="M224" s="10">
        <v>53300</v>
      </c>
      <c r="N224" t="s">
        <v>33</v>
      </c>
    </row>
    <row r="225" spans="1:14" x14ac:dyDescent="0.35">
      <c r="A225" t="s">
        <v>453</v>
      </c>
      <c r="B225" s="9">
        <v>45465</v>
      </c>
      <c r="C225" t="s">
        <v>25</v>
      </c>
      <c r="D225" t="s">
        <v>79</v>
      </c>
      <c r="E225" t="s">
        <v>31</v>
      </c>
      <c r="F225" t="s">
        <v>81</v>
      </c>
      <c r="G225">
        <v>128</v>
      </c>
      <c r="H225" s="10">
        <v>650</v>
      </c>
      <c r="I225" s="10">
        <v>83200</v>
      </c>
      <c r="J225">
        <v>7</v>
      </c>
      <c r="K225" s="10">
        <v>4550</v>
      </c>
      <c r="L225">
        <v>121</v>
      </c>
      <c r="M225" s="10">
        <v>78650</v>
      </c>
      <c r="N225" t="s">
        <v>122</v>
      </c>
    </row>
    <row r="226" spans="1:14" x14ac:dyDescent="0.35">
      <c r="A226" t="s">
        <v>681</v>
      </c>
      <c r="B226" s="9">
        <v>45465</v>
      </c>
      <c r="C226" t="s">
        <v>96</v>
      </c>
      <c r="D226" t="s">
        <v>19</v>
      </c>
      <c r="E226" t="s">
        <v>20</v>
      </c>
      <c r="F226" t="s">
        <v>755</v>
      </c>
      <c r="G226">
        <v>85</v>
      </c>
      <c r="H226" s="10">
        <v>3500</v>
      </c>
      <c r="I226" s="10">
        <v>297500</v>
      </c>
      <c r="J226">
        <v>0</v>
      </c>
      <c r="K226" s="10">
        <v>0</v>
      </c>
      <c r="L226">
        <v>85</v>
      </c>
      <c r="M226" s="10">
        <v>297500</v>
      </c>
      <c r="N226" t="s">
        <v>122</v>
      </c>
    </row>
    <row r="227" spans="1:14" x14ac:dyDescent="0.35">
      <c r="A227" t="s">
        <v>695</v>
      </c>
      <c r="B227" s="9">
        <v>45467</v>
      </c>
      <c r="C227" t="s">
        <v>25</v>
      </c>
      <c r="D227" t="s">
        <v>54</v>
      </c>
      <c r="E227" t="s">
        <v>31</v>
      </c>
      <c r="F227" t="s">
        <v>89</v>
      </c>
      <c r="G227">
        <v>159</v>
      </c>
      <c r="H227" s="10">
        <v>900</v>
      </c>
      <c r="I227" s="10">
        <v>143100</v>
      </c>
      <c r="J227">
        <v>10</v>
      </c>
      <c r="K227" s="10">
        <v>9000</v>
      </c>
      <c r="L227">
        <v>149</v>
      </c>
      <c r="M227" s="10">
        <v>134100</v>
      </c>
      <c r="N227" t="s">
        <v>122</v>
      </c>
    </row>
    <row r="228" spans="1:14" x14ac:dyDescent="0.35">
      <c r="A228" t="s">
        <v>222</v>
      </c>
      <c r="B228" s="9">
        <v>45468</v>
      </c>
      <c r="C228" t="s">
        <v>74</v>
      </c>
      <c r="D228" t="s">
        <v>35</v>
      </c>
      <c r="E228" t="s">
        <v>31</v>
      </c>
      <c r="F228" t="s">
        <v>55</v>
      </c>
      <c r="G228">
        <v>187</v>
      </c>
      <c r="H228" s="10">
        <v>1100</v>
      </c>
      <c r="I228" s="10">
        <v>205700</v>
      </c>
      <c r="J228">
        <v>6</v>
      </c>
      <c r="K228" s="10">
        <v>6600</v>
      </c>
      <c r="L228">
        <v>181</v>
      </c>
      <c r="M228" s="10">
        <v>199100</v>
      </c>
      <c r="N228" t="s">
        <v>62</v>
      </c>
    </row>
    <row r="229" spans="1:14" x14ac:dyDescent="0.35">
      <c r="A229" t="s">
        <v>515</v>
      </c>
      <c r="B229" s="9">
        <v>45468</v>
      </c>
      <c r="C229" t="s">
        <v>74</v>
      </c>
      <c r="D229" t="s">
        <v>54</v>
      </c>
      <c r="E229" t="s">
        <v>20</v>
      </c>
      <c r="F229" t="s">
        <v>153</v>
      </c>
      <c r="G229">
        <v>182</v>
      </c>
      <c r="H229" s="10">
        <v>2800</v>
      </c>
      <c r="I229" s="10">
        <v>509600</v>
      </c>
      <c r="J229">
        <v>18</v>
      </c>
      <c r="K229" s="10">
        <v>50400</v>
      </c>
      <c r="L229">
        <v>164</v>
      </c>
      <c r="M229" s="10">
        <v>459200</v>
      </c>
      <c r="N229" t="s">
        <v>122</v>
      </c>
    </row>
    <row r="230" spans="1:14" x14ac:dyDescent="0.35">
      <c r="A230" t="s">
        <v>281</v>
      </c>
      <c r="B230" s="9">
        <v>45469</v>
      </c>
      <c r="C230" t="s">
        <v>18</v>
      </c>
      <c r="D230" t="s">
        <v>13</v>
      </c>
      <c r="E230" t="s">
        <v>20</v>
      </c>
      <c r="F230" t="s">
        <v>133</v>
      </c>
      <c r="G230">
        <v>121</v>
      </c>
      <c r="H230" s="10">
        <v>1200</v>
      </c>
      <c r="I230" s="10">
        <v>145200</v>
      </c>
      <c r="J230">
        <v>1</v>
      </c>
      <c r="K230" s="10">
        <v>1200</v>
      </c>
      <c r="L230">
        <v>120</v>
      </c>
      <c r="M230" s="10">
        <v>144000</v>
      </c>
      <c r="N230" t="s">
        <v>122</v>
      </c>
    </row>
    <row r="231" spans="1:14" x14ac:dyDescent="0.35">
      <c r="A231" t="s">
        <v>341</v>
      </c>
      <c r="B231" s="9">
        <v>45470</v>
      </c>
      <c r="C231" t="s">
        <v>74</v>
      </c>
      <c r="D231" t="s">
        <v>93</v>
      </c>
      <c r="E231" t="s">
        <v>31</v>
      </c>
      <c r="F231" t="s">
        <v>89</v>
      </c>
      <c r="G231">
        <v>187</v>
      </c>
      <c r="H231" s="10">
        <v>900</v>
      </c>
      <c r="I231" s="10">
        <v>168300</v>
      </c>
      <c r="J231">
        <v>17</v>
      </c>
      <c r="K231" s="10">
        <v>15300</v>
      </c>
      <c r="L231">
        <v>170</v>
      </c>
      <c r="M231" s="10">
        <v>153000</v>
      </c>
      <c r="N231" t="s">
        <v>122</v>
      </c>
    </row>
    <row r="232" spans="1:14" x14ac:dyDescent="0.35">
      <c r="A232" t="s">
        <v>345</v>
      </c>
      <c r="B232" s="9">
        <v>45472</v>
      </c>
      <c r="C232" t="s">
        <v>51</v>
      </c>
      <c r="D232" t="s">
        <v>79</v>
      </c>
      <c r="E232" t="s">
        <v>31</v>
      </c>
      <c r="F232" t="s">
        <v>159</v>
      </c>
      <c r="G232">
        <v>139</v>
      </c>
      <c r="H232" s="10">
        <v>1800</v>
      </c>
      <c r="I232" s="10">
        <v>250200</v>
      </c>
      <c r="J232">
        <v>10</v>
      </c>
      <c r="K232" s="10">
        <v>18000</v>
      </c>
      <c r="L232">
        <v>129</v>
      </c>
      <c r="M232" s="10">
        <v>232200</v>
      </c>
      <c r="N232" t="s">
        <v>33</v>
      </c>
    </row>
    <row r="233" spans="1:14" x14ac:dyDescent="0.35">
      <c r="A233" t="s">
        <v>531</v>
      </c>
      <c r="B233" s="9">
        <v>45472</v>
      </c>
      <c r="C233" t="s">
        <v>25</v>
      </c>
      <c r="D233" t="s">
        <v>13</v>
      </c>
      <c r="E233" t="s">
        <v>31</v>
      </c>
      <c r="F233" t="s">
        <v>58</v>
      </c>
      <c r="G233">
        <v>62</v>
      </c>
      <c r="H233" s="10">
        <v>850</v>
      </c>
      <c r="I233" s="10">
        <v>52700</v>
      </c>
      <c r="J233">
        <v>0</v>
      </c>
      <c r="K233" s="10">
        <v>0</v>
      </c>
      <c r="L233">
        <v>62</v>
      </c>
      <c r="M233" s="10">
        <v>52700</v>
      </c>
      <c r="N233" t="s">
        <v>62</v>
      </c>
    </row>
    <row r="234" spans="1:14" x14ac:dyDescent="0.35">
      <c r="A234" t="s">
        <v>417</v>
      </c>
      <c r="B234" s="9">
        <v>45473</v>
      </c>
      <c r="C234" t="s">
        <v>44</v>
      </c>
      <c r="D234" t="s">
        <v>93</v>
      </c>
      <c r="E234" t="s">
        <v>31</v>
      </c>
      <c r="F234" t="s">
        <v>45</v>
      </c>
      <c r="G234">
        <v>194</v>
      </c>
      <c r="H234" s="10">
        <v>1200</v>
      </c>
      <c r="I234" s="10">
        <v>232800</v>
      </c>
      <c r="J234">
        <v>2</v>
      </c>
      <c r="K234" s="10">
        <v>2400</v>
      </c>
      <c r="L234">
        <v>192</v>
      </c>
      <c r="M234" s="10">
        <v>230400</v>
      </c>
      <c r="N234" t="s">
        <v>122</v>
      </c>
    </row>
    <row r="235" spans="1:14" x14ac:dyDescent="0.35">
      <c r="A235" t="s">
        <v>59</v>
      </c>
      <c r="B235" s="9">
        <v>45474</v>
      </c>
      <c r="C235" t="s">
        <v>18</v>
      </c>
      <c r="D235" t="s">
        <v>19</v>
      </c>
      <c r="E235" t="s">
        <v>14</v>
      </c>
      <c r="F235" t="s">
        <v>61</v>
      </c>
      <c r="G235">
        <v>193</v>
      </c>
      <c r="H235" s="10">
        <v>2200</v>
      </c>
      <c r="I235" s="10">
        <v>424600</v>
      </c>
      <c r="J235">
        <v>0</v>
      </c>
      <c r="K235" s="10">
        <v>0</v>
      </c>
      <c r="L235">
        <v>193</v>
      </c>
      <c r="M235" s="10">
        <v>424600</v>
      </c>
      <c r="N235" t="s">
        <v>62</v>
      </c>
    </row>
    <row r="236" spans="1:14" x14ac:dyDescent="0.35">
      <c r="A236" t="s">
        <v>98</v>
      </c>
      <c r="B236" s="9">
        <v>45475</v>
      </c>
      <c r="C236" t="s">
        <v>44</v>
      </c>
      <c r="D236" t="s">
        <v>19</v>
      </c>
      <c r="E236" t="s">
        <v>14</v>
      </c>
      <c r="F236" t="s">
        <v>99</v>
      </c>
      <c r="G236">
        <v>20</v>
      </c>
      <c r="H236" s="10">
        <v>1500</v>
      </c>
      <c r="I236" s="10">
        <v>30000</v>
      </c>
      <c r="J236">
        <v>0</v>
      </c>
      <c r="K236" s="10">
        <v>0</v>
      </c>
      <c r="L236">
        <v>20</v>
      </c>
      <c r="M236" s="10">
        <v>30000</v>
      </c>
      <c r="N236" t="s">
        <v>62</v>
      </c>
    </row>
    <row r="237" spans="1:14" x14ac:dyDescent="0.35">
      <c r="A237" t="s">
        <v>535</v>
      </c>
      <c r="B237" s="9">
        <v>45475</v>
      </c>
      <c r="C237" t="s">
        <v>44</v>
      </c>
      <c r="D237" t="s">
        <v>35</v>
      </c>
      <c r="E237" t="s">
        <v>20</v>
      </c>
      <c r="F237" t="s">
        <v>97</v>
      </c>
      <c r="G237">
        <v>160</v>
      </c>
      <c r="H237" s="10">
        <v>500</v>
      </c>
      <c r="I237" s="10">
        <v>80000</v>
      </c>
      <c r="J237">
        <v>0</v>
      </c>
      <c r="K237" s="10">
        <v>0</v>
      </c>
      <c r="L237">
        <v>160</v>
      </c>
      <c r="M237" s="10">
        <v>80000</v>
      </c>
      <c r="N237" t="s">
        <v>122</v>
      </c>
    </row>
    <row r="238" spans="1:14" x14ac:dyDescent="0.35">
      <c r="A238" t="s">
        <v>686</v>
      </c>
      <c r="B238" s="9">
        <v>45475</v>
      </c>
      <c r="C238" t="s">
        <v>74</v>
      </c>
      <c r="D238" t="s">
        <v>19</v>
      </c>
      <c r="E238" t="s">
        <v>20</v>
      </c>
      <c r="F238" t="s">
        <v>52</v>
      </c>
      <c r="G238">
        <v>44</v>
      </c>
      <c r="H238" s="10">
        <v>450</v>
      </c>
      <c r="I238" s="10">
        <v>19800</v>
      </c>
      <c r="J238">
        <v>0</v>
      </c>
      <c r="K238" s="10">
        <v>0</v>
      </c>
      <c r="L238">
        <v>44</v>
      </c>
      <c r="M238" s="10">
        <v>19800</v>
      </c>
      <c r="N238" t="s">
        <v>62</v>
      </c>
    </row>
    <row r="239" spans="1:14" x14ac:dyDescent="0.35">
      <c r="A239" t="s">
        <v>105</v>
      </c>
      <c r="B239" s="9">
        <v>45476</v>
      </c>
      <c r="C239" t="s">
        <v>96</v>
      </c>
      <c r="D239" t="s">
        <v>19</v>
      </c>
      <c r="E239" t="s">
        <v>753</v>
      </c>
      <c r="F239" t="s">
        <v>70</v>
      </c>
      <c r="G239">
        <v>103</v>
      </c>
      <c r="H239" s="10">
        <v>1800</v>
      </c>
      <c r="I239" s="10">
        <v>185400</v>
      </c>
      <c r="J239">
        <v>0</v>
      </c>
      <c r="K239" s="10">
        <v>0</v>
      </c>
      <c r="L239">
        <v>103</v>
      </c>
      <c r="M239" s="10">
        <v>185400</v>
      </c>
      <c r="N239" t="s">
        <v>753</v>
      </c>
    </row>
    <row r="240" spans="1:14" x14ac:dyDescent="0.35">
      <c r="A240" t="s">
        <v>237</v>
      </c>
      <c r="B240" s="9">
        <v>45476</v>
      </c>
      <c r="C240" t="s">
        <v>18</v>
      </c>
      <c r="D240" t="s">
        <v>54</v>
      </c>
      <c r="E240" t="s">
        <v>20</v>
      </c>
      <c r="F240" t="s">
        <v>36</v>
      </c>
      <c r="G240">
        <v>146</v>
      </c>
      <c r="H240" s="10">
        <v>900</v>
      </c>
      <c r="I240" s="10">
        <v>131400</v>
      </c>
      <c r="J240">
        <v>11</v>
      </c>
      <c r="K240" s="10">
        <v>9900</v>
      </c>
      <c r="L240">
        <v>135</v>
      </c>
      <c r="M240" s="10">
        <v>121500</v>
      </c>
      <c r="N240" t="s">
        <v>33</v>
      </c>
    </row>
    <row r="241" spans="1:14" x14ac:dyDescent="0.35">
      <c r="A241" t="s">
        <v>421</v>
      </c>
      <c r="B241" s="9">
        <v>45476</v>
      </c>
      <c r="C241" t="s">
        <v>44</v>
      </c>
      <c r="D241" t="s">
        <v>35</v>
      </c>
      <c r="E241" t="s">
        <v>31</v>
      </c>
      <c r="F241" t="s">
        <v>58</v>
      </c>
      <c r="G241">
        <v>161</v>
      </c>
      <c r="H241" s="10">
        <v>850</v>
      </c>
      <c r="I241" s="10">
        <v>136850</v>
      </c>
      <c r="J241">
        <v>0</v>
      </c>
      <c r="K241" s="10">
        <v>0</v>
      </c>
      <c r="L241">
        <v>161</v>
      </c>
      <c r="M241" s="10">
        <v>136850</v>
      </c>
      <c r="N241" t="s">
        <v>122</v>
      </c>
    </row>
    <row r="242" spans="1:14" x14ac:dyDescent="0.35">
      <c r="A242" t="s">
        <v>73</v>
      </c>
      <c r="B242" s="9">
        <v>45477</v>
      </c>
      <c r="C242" t="s">
        <v>74</v>
      </c>
      <c r="D242" t="s">
        <v>19</v>
      </c>
      <c r="E242" t="s">
        <v>31</v>
      </c>
      <c r="F242" t="s">
        <v>55</v>
      </c>
      <c r="G242">
        <v>123</v>
      </c>
      <c r="H242" s="10">
        <v>1100</v>
      </c>
      <c r="I242" s="10">
        <v>135300</v>
      </c>
      <c r="J242">
        <v>8</v>
      </c>
      <c r="K242" s="10">
        <v>8800</v>
      </c>
      <c r="L242">
        <v>115</v>
      </c>
      <c r="M242" s="10">
        <v>126500</v>
      </c>
      <c r="N242" t="s">
        <v>33</v>
      </c>
    </row>
    <row r="243" spans="1:14" x14ac:dyDescent="0.35">
      <c r="A243" t="s">
        <v>409</v>
      </c>
      <c r="B243" s="9">
        <v>45477</v>
      </c>
      <c r="C243" t="s">
        <v>18</v>
      </c>
      <c r="D243" t="s">
        <v>93</v>
      </c>
      <c r="E243" t="s">
        <v>20</v>
      </c>
      <c r="F243" t="s">
        <v>36</v>
      </c>
      <c r="G243">
        <v>176</v>
      </c>
      <c r="H243" s="10">
        <v>900</v>
      </c>
      <c r="I243" s="10">
        <v>158400</v>
      </c>
      <c r="J243">
        <v>17</v>
      </c>
      <c r="K243" s="10">
        <v>15300</v>
      </c>
      <c r="L243">
        <v>159</v>
      </c>
      <c r="M243" s="10">
        <v>143100</v>
      </c>
      <c r="N243" t="s">
        <v>33</v>
      </c>
    </row>
    <row r="244" spans="1:14" x14ac:dyDescent="0.35">
      <c r="A244" t="s">
        <v>410</v>
      </c>
      <c r="B244" s="9">
        <v>45477</v>
      </c>
      <c r="C244" t="s">
        <v>18</v>
      </c>
      <c r="D244" t="s">
        <v>19</v>
      </c>
      <c r="E244" t="s">
        <v>31</v>
      </c>
      <c r="F244" t="s">
        <v>89</v>
      </c>
      <c r="G244">
        <v>181</v>
      </c>
      <c r="H244" s="10">
        <v>900</v>
      </c>
      <c r="I244" s="10">
        <v>162900</v>
      </c>
      <c r="J244">
        <v>1</v>
      </c>
      <c r="K244" s="10">
        <v>900</v>
      </c>
      <c r="L244">
        <v>180</v>
      </c>
      <c r="M244" s="10">
        <v>162000</v>
      </c>
      <c r="N244" t="s">
        <v>33</v>
      </c>
    </row>
    <row r="245" spans="1:14" x14ac:dyDescent="0.35">
      <c r="A245" t="s">
        <v>277</v>
      </c>
      <c r="B245" s="9">
        <v>45478</v>
      </c>
      <c r="C245" t="s">
        <v>96</v>
      </c>
      <c r="D245" t="s">
        <v>54</v>
      </c>
      <c r="E245" t="s">
        <v>20</v>
      </c>
      <c r="F245" t="s">
        <v>153</v>
      </c>
      <c r="G245">
        <v>18</v>
      </c>
      <c r="H245" s="10">
        <v>2800</v>
      </c>
      <c r="I245" s="10">
        <v>50400</v>
      </c>
      <c r="J245">
        <v>1</v>
      </c>
      <c r="K245" s="10">
        <v>2800</v>
      </c>
      <c r="L245">
        <v>17</v>
      </c>
      <c r="M245" s="10">
        <v>47600</v>
      </c>
      <c r="N245" t="s">
        <v>122</v>
      </c>
    </row>
    <row r="246" spans="1:14" x14ac:dyDescent="0.35">
      <c r="A246" t="s">
        <v>346</v>
      </c>
      <c r="B246" s="9">
        <v>45478</v>
      </c>
      <c r="C246" t="s">
        <v>96</v>
      </c>
      <c r="D246" t="s">
        <v>54</v>
      </c>
      <c r="E246" t="s">
        <v>31</v>
      </c>
      <c r="F246" t="s">
        <v>45</v>
      </c>
      <c r="G246">
        <v>25</v>
      </c>
      <c r="H246" s="10">
        <v>1200</v>
      </c>
      <c r="I246" s="10">
        <v>30000</v>
      </c>
      <c r="J246">
        <v>2</v>
      </c>
      <c r="K246" s="10">
        <v>2400</v>
      </c>
      <c r="L246">
        <v>23</v>
      </c>
      <c r="M246" s="10">
        <v>27600</v>
      </c>
      <c r="N246" t="s">
        <v>33</v>
      </c>
    </row>
    <row r="247" spans="1:14" x14ac:dyDescent="0.35">
      <c r="A247" t="s">
        <v>466</v>
      </c>
      <c r="B247" s="9">
        <v>45478</v>
      </c>
      <c r="C247" t="s">
        <v>96</v>
      </c>
      <c r="D247" t="s">
        <v>35</v>
      </c>
      <c r="E247" t="s">
        <v>31</v>
      </c>
      <c r="F247" t="s">
        <v>45</v>
      </c>
      <c r="G247">
        <v>103</v>
      </c>
      <c r="H247" s="10">
        <v>1200</v>
      </c>
      <c r="I247" s="10">
        <v>123600</v>
      </c>
      <c r="J247">
        <v>0</v>
      </c>
      <c r="K247" s="10">
        <v>0</v>
      </c>
      <c r="L247">
        <v>103</v>
      </c>
      <c r="M247" s="10">
        <v>123600</v>
      </c>
      <c r="N247" t="s">
        <v>62</v>
      </c>
    </row>
    <row r="248" spans="1:14" x14ac:dyDescent="0.35">
      <c r="A248" t="s">
        <v>676</v>
      </c>
      <c r="B248" s="9">
        <v>45479</v>
      </c>
      <c r="C248" t="s">
        <v>18</v>
      </c>
      <c r="D248" t="s">
        <v>79</v>
      </c>
      <c r="E248" t="s">
        <v>20</v>
      </c>
      <c r="F248" t="s">
        <v>133</v>
      </c>
      <c r="G248">
        <v>38</v>
      </c>
      <c r="H248" s="10">
        <v>1200</v>
      </c>
      <c r="I248" s="10">
        <v>45600</v>
      </c>
      <c r="J248">
        <v>3</v>
      </c>
      <c r="K248" s="10">
        <v>3600</v>
      </c>
      <c r="L248">
        <v>35</v>
      </c>
      <c r="M248" s="10">
        <v>42000</v>
      </c>
      <c r="N248" t="s">
        <v>122</v>
      </c>
    </row>
    <row r="249" spans="1:14" x14ac:dyDescent="0.35">
      <c r="A249" t="s">
        <v>701</v>
      </c>
      <c r="B249" s="9">
        <v>45482</v>
      </c>
      <c r="C249" t="s">
        <v>18</v>
      </c>
      <c r="D249" t="s">
        <v>79</v>
      </c>
      <c r="E249" t="s">
        <v>20</v>
      </c>
      <c r="F249" t="s">
        <v>52</v>
      </c>
      <c r="G249">
        <v>130</v>
      </c>
      <c r="H249" s="10">
        <v>0</v>
      </c>
      <c r="I249" s="10">
        <v>0</v>
      </c>
      <c r="J249">
        <v>3</v>
      </c>
      <c r="K249" s="10">
        <v>0</v>
      </c>
      <c r="L249">
        <v>127</v>
      </c>
      <c r="M249" s="10">
        <v>0</v>
      </c>
      <c r="N249" t="s">
        <v>62</v>
      </c>
    </row>
    <row r="250" spans="1:14" x14ac:dyDescent="0.35">
      <c r="A250" t="s">
        <v>204</v>
      </c>
      <c r="B250" s="9">
        <v>45483</v>
      </c>
      <c r="C250" t="s">
        <v>44</v>
      </c>
      <c r="D250" t="s">
        <v>26</v>
      </c>
      <c r="E250" t="s">
        <v>31</v>
      </c>
      <c r="F250" t="s">
        <v>58</v>
      </c>
      <c r="G250">
        <v>40</v>
      </c>
      <c r="H250" s="10">
        <v>850</v>
      </c>
      <c r="I250" s="10">
        <v>34000</v>
      </c>
      <c r="J250">
        <v>0</v>
      </c>
      <c r="K250" s="10">
        <v>0</v>
      </c>
      <c r="L250">
        <v>40</v>
      </c>
      <c r="M250" s="10">
        <v>34000</v>
      </c>
      <c r="N250" t="s">
        <v>62</v>
      </c>
    </row>
    <row r="251" spans="1:14" x14ac:dyDescent="0.35">
      <c r="A251" t="s">
        <v>401</v>
      </c>
      <c r="B251" s="9">
        <v>45484</v>
      </c>
      <c r="C251" t="s">
        <v>44</v>
      </c>
      <c r="D251" t="s">
        <v>753</v>
      </c>
      <c r="E251" t="s">
        <v>31</v>
      </c>
      <c r="F251" t="s">
        <v>55</v>
      </c>
      <c r="G251">
        <v>36</v>
      </c>
      <c r="H251" s="10">
        <v>1100</v>
      </c>
      <c r="I251" s="10">
        <v>39600</v>
      </c>
      <c r="J251">
        <v>0</v>
      </c>
      <c r="K251" s="10">
        <v>0</v>
      </c>
      <c r="L251">
        <v>36</v>
      </c>
      <c r="M251" s="10">
        <v>39600</v>
      </c>
      <c r="N251" t="s">
        <v>122</v>
      </c>
    </row>
    <row r="252" spans="1:14" x14ac:dyDescent="0.35">
      <c r="A252" t="s">
        <v>170</v>
      </c>
      <c r="B252" s="9">
        <v>45486</v>
      </c>
      <c r="C252" t="s">
        <v>44</v>
      </c>
      <c r="D252" t="s">
        <v>49</v>
      </c>
      <c r="E252" t="s">
        <v>14</v>
      </c>
      <c r="F252" t="s">
        <v>754</v>
      </c>
      <c r="G252">
        <v>157</v>
      </c>
      <c r="H252" s="10">
        <v>700</v>
      </c>
      <c r="I252" s="10">
        <v>109900</v>
      </c>
      <c r="J252">
        <v>0</v>
      </c>
      <c r="K252" s="10">
        <v>0</v>
      </c>
      <c r="L252">
        <v>157</v>
      </c>
      <c r="M252" s="10">
        <v>109900</v>
      </c>
      <c r="N252" t="s">
        <v>33</v>
      </c>
    </row>
    <row r="253" spans="1:14" x14ac:dyDescent="0.35">
      <c r="A253" t="s">
        <v>195</v>
      </c>
      <c r="B253" s="9">
        <v>45486</v>
      </c>
      <c r="C253" t="s">
        <v>25</v>
      </c>
      <c r="D253" t="s">
        <v>49</v>
      </c>
      <c r="E253" t="s">
        <v>31</v>
      </c>
      <c r="F253" t="s">
        <v>58</v>
      </c>
      <c r="G253">
        <v>59</v>
      </c>
      <c r="H253" s="10">
        <v>850</v>
      </c>
      <c r="I253" s="10">
        <v>50150</v>
      </c>
      <c r="J253">
        <v>2</v>
      </c>
      <c r="K253" s="10">
        <v>1700</v>
      </c>
      <c r="L253">
        <v>57</v>
      </c>
      <c r="M253" s="10">
        <v>48450</v>
      </c>
      <c r="N253" t="s">
        <v>122</v>
      </c>
    </row>
    <row r="254" spans="1:14" x14ac:dyDescent="0.35">
      <c r="A254" t="s">
        <v>661</v>
      </c>
      <c r="B254" s="9">
        <v>45487</v>
      </c>
      <c r="C254" t="s">
        <v>18</v>
      </c>
      <c r="D254" t="s">
        <v>13</v>
      </c>
      <c r="E254" t="s">
        <v>14</v>
      </c>
      <c r="F254" t="s">
        <v>70</v>
      </c>
      <c r="G254">
        <v>95</v>
      </c>
      <c r="H254" s="10">
        <v>0</v>
      </c>
      <c r="I254" s="10">
        <v>0</v>
      </c>
      <c r="J254">
        <v>0</v>
      </c>
      <c r="K254" s="10">
        <v>0</v>
      </c>
      <c r="L254">
        <v>95</v>
      </c>
      <c r="M254" s="10">
        <v>0</v>
      </c>
      <c r="N254" t="s">
        <v>33</v>
      </c>
    </row>
    <row r="255" spans="1:14" x14ac:dyDescent="0.35">
      <c r="A255" t="s">
        <v>607</v>
      </c>
      <c r="B255" s="9">
        <v>45489</v>
      </c>
      <c r="C255" t="s">
        <v>51</v>
      </c>
      <c r="D255" t="s">
        <v>35</v>
      </c>
      <c r="E255" t="s">
        <v>20</v>
      </c>
      <c r="F255" t="s">
        <v>52</v>
      </c>
      <c r="G255">
        <v>161</v>
      </c>
      <c r="H255" s="10">
        <v>450</v>
      </c>
      <c r="I255" s="10">
        <v>72450</v>
      </c>
      <c r="J255">
        <v>10</v>
      </c>
      <c r="K255" s="10">
        <v>4500</v>
      </c>
      <c r="L255">
        <v>151</v>
      </c>
      <c r="M255" s="10">
        <v>67950</v>
      </c>
      <c r="N255" t="s">
        <v>122</v>
      </c>
    </row>
    <row r="256" spans="1:14" x14ac:dyDescent="0.35">
      <c r="A256" t="s">
        <v>351</v>
      </c>
      <c r="B256" s="9">
        <v>45490</v>
      </c>
      <c r="C256" t="s">
        <v>44</v>
      </c>
      <c r="D256" t="s">
        <v>35</v>
      </c>
      <c r="E256" t="s">
        <v>14</v>
      </c>
      <c r="F256" t="s">
        <v>72</v>
      </c>
      <c r="G256">
        <v>119</v>
      </c>
      <c r="H256" s="10">
        <v>400</v>
      </c>
      <c r="I256" s="10">
        <v>47600</v>
      </c>
      <c r="J256">
        <v>3</v>
      </c>
      <c r="K256" s="10">
        <v>1200</v>
      </c>
      <c r="L256">
        <v>116</v>
      </c>
      <c r="M256" s="10">
        <v>46400</v>
      </c>
      <c r="N256" t="s">
        <v>33</v>
      </c>
    </row>
    <row r="257" spans="1:14" x14ac:dyDescent="0.35">
      <c r="A257" t="s">
        <v>582</v>
      </c>
      <c r="B257" s="9">
        <v>45491</v>
      </c>
      <c r="C257" t="s">
        <v>51</v>
      </c>
      <c r="D257" t="s">
        <v>49</v>
      </c>
      <c r="E257" t="s">
        <v>14</v>
      </c>
      <c r="F257" t="s">
        <v>754</v>
      </c>
      <c r="G257">
        <v>194</v>
      </c>
      <c r="H257" s="10">
        <v>700</v>
      </c>
      <c r="I257" s="10">
        <v>135800</v>
      </c>
      <c r="J257">
        <v>11</v>
      </c>
      <c r="K257" s="10">
        <v>7700</v>
      </c>
      <c r="L257">
        <v>183</v>
      </c>
      <c r="M257" s="10">
        <v>128100</v>
      </c>
      <c r="N257" t="s">
        <v>33</v>
      </c>
    </row>
    <row r="258" spans="1:14" x14ac:dyDescent="0.35">
      <c r="A258" t="s">
        <v>598</v>
      </c>
      <c r="B258" s="9">
        <v>45492</v>
      </c>
      <c r="C258" t="s">
        <v>18</v>
      </c>
      <c r="D258" t="s">
        <v>41</v>
      </c>
      <c r="E258" t="s">
        <v>31</v>
      </c>
      <c r="F258" t="s">
        <v>121</v>
      </c>
      <c r="G258">
        <v>178</v>
      </c>
      <c r="H258" s="10">
        <v>200</v>
      </c>
      <c r="I258" s="10">
        <v>35600</v>
      </c>
      <c r="J258">
        <v>2</v>
      </c>
      <c r="K258" s="10">
        <v>400</v>
      </c>
      <c r="L258">
        <v>176</v>
      </c>
      <c r="M258" s="10">
        <v>35200</v>
      </c>
      <c r="N258" t="s">
        <v>33</v>
      </c>
    </row>
    <row r="259" spans="1:14" x14ac:dyDescent="0.35">
      <c r="A259" t="s">
        <v>257</v>
      </c>
      <c r="B259" s="9">
        <v>45493</v>
      </c>
      <c r="C259" t="s">
        <v>44</v>
      </c>
      <c r="D259" t="s">
        <v>65</v>
      </c>
      <c r="E259" t="s">
        <v>20</v>
      </c>
      <c r="F259" t="s">
        <v>36</v>
      </c>
      <c r="G259">
        <v>39</v>
      </c>
      <c r="H259" s="10">
        <v>900</v>
      </c>
      <c r="I259" s="10">
        <v>35100</v>
      </c>
      <c r="J259">
        <v>3</v>
      </c>
      <c r="K259" s="10">
        <v>2700</v>
      </c>
      <c r="L259">
        <v>36</v>
      </c>
      <c r="M259" s="10">
        <v>32400</v>
      </c>
      <c r="N259" t="s">
        <v>62</v>
      </c>
    </row>
    <row r="260" spans="1:14" x14ac:dyDescent="0.35">
      <c r="A260" t="s">
        <v>290</v>
      </c>
      <c r="B260" s="9">
        <v>45493</v>
      </c>
      <c r="C260" t="s">
        <v>18</v>
      </c>
      <c r="D260" t="s">
        <v>35</v>
      </c>
      <c r="E260" t="s">
        <v>31</v>
      </c>
      <c r="F260" t="s">
        <v>32</v>
      </c>
      <c r="G260">
        <v>81</v>
      </c>
      <c r="H260" s="10">
        <v>1400</v>
      </c>
      <c r="I260" s="10">
        <v>113400</v>
      </c>
      <c r="J260">
        <v>6</v>
      </c>
      <c r="K260" s="10">
        <v>8400</v>
      </c>
      <c r="L260">
        <v>75</v>
      </c>
      <c r="M260" s="10">
        <v>105000</v>
      </c>
      <c r="N260" t="s">
        <v>33</v>
      </c>
    </row>
    <row r="261" spans="1:14" x14ac:dyDescent="0.35">
      <c r="A261" t="s">
        <v>329</v>
      </c>
      <c r="B261" s="9">
        <v>45494</v>
      </c>
      <c r="C261" t="s">
        <v>18</v>
      </c>
      <c r="D261" t="s">
        <v>13</v>
      </c>
      <c r="E261" t="s">
        <v>31</v>
      </c>
      <c r="F261" t="s">
        <v>58</v>
      </c>
      <c r="G261">
        <v>73</v>
      </c>
      <c r="H261" s="10">
        <v>0</v>
      </c>
      <c r="I261" s="10">
        <v>0</v>
      </c>
      <c r="J261">
        <v>4</v>
      </c>
      <c r="K261" s="10">
        <v>0</v>
      </c>
      <c r="L261">
        <v>69</v>
      </c>
      <c r="M261" s="10">
        <v>0</v>
      </c>
      <c r="N261" t="s">
        <v>122</v>
      </c>
    </row>
    <row r="262" spans="1:14" x14ac:dyDescent="0.35">
      <c r="A262" t="s">
        <v>599</v>
      </c>
      <c r="B262" s="9">
        <v>45494</v>
      </c>
      <c r="C262" t="s">
        <v>96</v>
      </c>
      <c r="D262" t="s">
        <v>19</v>
      </c>
      <c r="E262" t="s">
        <v>31</v>
      </c>
      <c r="F262" t="s">
        <v>121</v>
      </c>
      <c r="G262">
        <v>59</v>
      </c>
      <c r="H262" s="10">
        <v>200</v>
      </c>
      <c r="I262" s="10">
        <v>11800</v>
      </c>
      <c r="J262">
        <v>0</v>
      </c>
      <c r="K262" s="10">
        <v>0</v>
      </c>
      <c r="L262">
        <v>59</v>
      </c>
      <c r="M262" s="10">
        <v>11800</v>
      </c>
      <c r="N262" t="s">
        <v>122</v>
      </c>
    </row>
    <row r="263" spans="1:14" x14ac:dyDescent="0.35">
      <c r="A263" t="s">
        <v>371</v>
      </c>
      <c r="B263" s="9">
        <v>45495</v>
      </c>
      <c r="C263" t="s">
        <v>51</v>
      </c>
      <c r="D263" t="s">
        <v>79</v>
      </c>
      <c r="E263" t="s">
        <v>14</v>
      </c>
      <c r="F263" t="s">
        <v>27</v>
      </c>
      <c r="G263">
        <v>197</v>
      </c>
      <c r="H263" s="10">
        <v>1600</v>
      </c>
      <c r="I263" s="10">
        <v>315200</v>
      </c>
      <c r="J263">
        <v>0</v>
      </c>
      <c r="K263" s="10">
        <v>0</v>
      </c>
      <c r="L263">
        <v>197</v>
      </c>
      <c r="M263" s="10">
        <v>315200</v>
      </c>
      <c r="N263" t="s">
        <v>62</v>
      </c>
    </row>
    <row r="264" spans="1:14" x14ac:dyDescent="0.35">
      <c r="A264" t="s">
        <v>528</v>
      </c>
      <c r="B264" s="9">
        <v>45495</v>
      </c>
      <c r="C264" t="s">
        <v>96</v>
      </c>
      <c r="D264" t="s">
        <v>79</v>
      </c>
      <c r="E264" t="s">
        <v>20</v>
      </c>
      <c r="F264" t="s">
        <v>133</v>
      </c>
      <c r="G264">
        <v>183</v>
      </c>
      <c r="H264" s="10">
        <v>1200</v>
      </c>
      <c r="I264" s="10">
        <v>219600</v>
      </c>
      <c r="J264">
        <v>1</v>
      </c>
      <c r="K264" s="10">
        <v>1200</v>
      </c>
      <c r="L264">
        <v>182</v>
      </c>
      <c r="M264" s="10">
        <v>218400</v>
      </c>
      <c r="N264" t="s">
        <v>33</v>
      </c>
    </row>
    <row r="265" spans="1:14" x14ac:dyDescent="0.35">
      <c r="A265" t="s">
        <v>554</v>
      </c>
      <c r="B265" s="9">
        <v>45495</v>
      </c>
      <c r="C265" t="s">
        <v>51</v>
      </c>
      <c r="D265" t="s">
        <v>49</v>
      </c>
      <c r="E265" t="s">
        <v>31</v>
      </c>
      <c r="F265" t="s">
        <v>89</v>
      </c>
      <c r="G265">
        <v>8</v>
      </c>
      <c r="H265" s="10">
        <v>900</v>
      </c>
      <c r="I265" s="10">
        <v>7200</v>
      </c>
      <c r="J265">
        <v>1</v>
      </c>
      <c r="K265" s="10">
        <v>900</v>
      </c>
      <c r="L265">
        <v>7</v>
      </c>
      <c r="M265" s="10">
        <v>6300</v>
      </c>
      <c r="N265" t="s">
        <v>122</v>
      </c>
    </row>
    <row r="266" spans="1:14" x14ac:dyDescent="0.35">
      <c r="A266" t="s">
        <v>168</v>
      </c>
      <c r="B266" s="9">
        <v>45501</v>
      </c>
      <c r="C266" t="s">
        <v>44</v>
      </c>
      <c r="D266" t="s">
        <v>54</v>
      </c>
      <c r="E266" t="s">
        <v>14</v>
      </c>
      <c r="F266" t="s">
        <v>72</v>
      </c>
      <c r="G266">
        <v>23</v>
      </c>
      <c r="H266" s="10">
        <v>400</v>
      </c>
      <c r="I266" s="10">
        <v>9200</v>
      </c>
      <c r="J266">
        <v>2</v>
      </c>
      <c r="K266" s="10">
        <v>800</v>
      </c>
      <c r="L266">
        <v>21</v>
      </c>
      <c r="M266" s="10">
        <v>8400</v>
      </c>
      <c r="N266" t="s">
        <v>122</v>
      </c>
    </row>
    <row r="267" spans="1:14" x14ac:dyDescent="0.35">
      <c r="A267" t="s">
        <v>256</v>
      </c>
      <c r="B267" s="9">
        <v>45501</v>
      </c>
      <c r="C267" t="s">
        <v>74</v>
      </c>
      <c r="D267" t="s">
        <v>35</v>
      </c>
      <c r="E267" t="s">
        <v>31</v>
      </c>
      <c r="F267" t="s">
        <v>55</v>
      </c>
      <c r="G267">
        <v>173</v>
      </c>
      <c r="H267" s="10">
        <v>1100</v>
      </c>
      <c r="I267" s="10">
        <v>190300</v>
      </c>
      <c r="J267">
        <v>15</v>
      </c>
      <c r="K267" s="10">
        <v>16500</v>
      </c>
      <c r="L267">
        <v>158</v>
      </c>
      <c r="M267" s="10">
        <v>173800</v>
      </c>
      <c r="N267" t="s">
        <v>122</v>
      </c>
    </row>
    <row r="268" spans="1:14" x14ac:dyDescent="0.35">
      <c r="A268" t="s">
        <v>218</v>
      </c>
      <c r="B268" s="9">
        <v>45503</v>
      </c>
      <c r="C268" t="s">
        <v>18</v>
      </c>
      <c r="D268" t="s">
        <v>753</v>
      </c>
      <c r="E268" t="s">
        <v>31</v>
      </c>
      <c r="F268" t="s">
        <v>81</v>
      </c>
      <c r="G268">
        <v>183</v>
      </c>
      <c r="H268" s="10">
        <v>650</v>
      </c>
      <c r="I268" s="10">
        <v>118950</v>
      </c>
      <c r="J268">
        <v>17</v>
      </c>
      <c r="K268" s="10">
        <v>11050</v>
      </c>
      <c r="L268">
        <v>166</v>
      </c>
      <c r="M268" s="10">
        <v>107900</v>
      </c>
      <c r="N268" t="s">
        <v>62</v>
      </c>
    </row>
    <row r="269" spans="1:14" x14ac:dyDescent="0.35">
      <c r="A269" t="s">
        <v>428</v>
      </c>
      <c r="B269" s="9">
        <v>45503</v>
      </c>
      <c r="C269" t="s">
        <v>96</v>
      </c>
      <c r="D269" t="s">
        <v>49</v>
      </c>
      <c r="E269" t="s">
        <v>20</v>
      </c>
      <c r="F269" t="s">
        <v>36</v>
      </c>
      <c r="G269">
        <v>30</v>
      </c>
      <c r="H269" s="10">
        <v>900</v>
      </c>
      <c r="I269" s="10">
        <v>27000</v>
      </c>
      <c r="J269">
        <v>1</v>
      </c>
      <c r="K269" s="10">
        <v>900</v>
      </c>
      <c r="L269">
        <v>29</v>
      </c>
      <c r="M269" s="10">
        <v>26100</v>
      </c>
      <c r="N269" t="s">
        <v>33</v>
      </c>
    </row>
    <row r="270" spans="1:14" x14ac:dyDescent="0.35">
      <c r="A270" t="s">
        <v>592</v>
      </c>
      <c r="B270" s="9">
        <v>45503</v>
      </c>
      <c r="C270" t="s">
        <v>74</v>
      </c>
      <c r="D270" t="s">
        <v>13</v>
      </c>
      <c r="E270" t="s">
        <v>31</v>
      </c>
      <c r="F270" t="s">
        <v>81</v>
      </c>
      <c r="G270">
        <v>117</v>
      </c>
      <c r="H270" s="10">
        <v>650</v>
      </c>
      <c r="I270" s="10">
        <v>76050</v>
      </c>
      <c r="J270">
        <v>3</v>
      </c>
      <c r="K270" s="10">
        <v>1950</v>
      </c>
      <c r="L270">
        <v>114</v>
      </c>
      <c r="M270" s="10">
        <v>74100</v>
      </c>
      <c r="N270" t="s">
        <v>122</v>
      </c>
    </row>
    <row r="271" spans="1:14" x14ac:dyDescent="0.35">
      <c r="A271" t="s">
        <v>606</v>
      </c>
      <c r="B271" s="9">
        <v>45503</v>
      </c>
      <c r="C271" t="s">
        <v>18</v>
      </c>
      <c r="D271" t="s">
        <v>26</v>
      </c>
      <c r="E271" t="s">
        <v>31</v>
      </c>
      <c r="F271" t="s">
        <v>81</v>
      </c>
      <c r="G271">
        <v>93</v>
      </c>
      <c r="H271" s="10">
        <v>650</v>
      </c>
      <c r="I271" s="10">
        <v>60450</v>
      </c>
      <c r="J271">
        <v>7</v>
      </c>
      <c r="K271" s="10">
        <v>4550</v>
      </c>
      <c r="L271">
        <v>86</v>
      </c>
      <c r="M271" s="10">
        <v>55900</v>
      </c>
      <c r="N271" t="s">
        <v>62</v>
      </c>
    </row>
    <row r="272" spans="1:14" x14ac:dyDescent="0.35">
      <c r="A272" t="s">
        <v>691</v>
      </c>
      <c r="B272" s="9">
        <v>45504</v>
      </c>
      <c r="C272" t="s">
        <v>51</v>
      </c>
      <c r="D272" t="s">
        <v>19</v>
      </c>
      <c r="E272" t="s">
        <v>20</v>
      </c>
      <c r="F272" t="s">
        <v>133</v>
      </c>
      <c r="G272">
        <v>121</v>
      </c>
      <c r="H272" s="10">
        <v>1200</v>
      </c>
      <c r="I272" s="10">
        <v>145200</v>
      </c>
      <c r="J272">
        <v>2</v>
      </c>
      <c r="K272" s="10">
        <v>2400</v>
      </c>
      <c r="L272">
        <v>119</v>
      </c>
      <c r="M272" s="10">
        <v>142800</v>
      </c>
      <c r="N272" t="s">
        <v>122</v>
      </c>
    </row>
    <row r="273" spans="1:14" x14ac:dyDescent="0.35">
      <c r="A273" t="s">
        <v>293</v>
      </c>
      <c r="B273" s="9">
        <v>45505</v>
      </c>
      <c r="C273" t="s">
        <v>74</v>
      </c>
      <c r="D273" t="s">
        <v>65</v>
      </c>
      <c r="E273" t="s">
        <v>20</v>
      </c>
      <c r="F273" t="s">
        <v>36</v>
      </c>
      <c r="G273">
        <v>67</v>
      </c>
      <c r="H273" s="10">
        <v>900</v>
      </c>
      <c r="I273" s="10">
        <v>60300</v>
      </c>
      <c r="J273">
        <v>0</v>
      </c>
      <c r="K273" s="10">
        <v>0</v>
      </c>
      <c r="L273">
        <v>67</v>
      </c>
      <c r="M273" s="10">
        <v>60300</v>
      </c>
      <c r="N273" t="s">
        <v>62</v>
      </c>
    </row>
    <row r="274" spans="1:14" x14ac:dyDescent="0.35">
      <c r="A274" t="s">
        <v>309</v>
      </c>
      <c r="B274" s="9">
        <v>45506</v>
      </c>
      <c r="C274" t="s">
        <v>18</v>
      </c>
      <c r="D274" t="s">
        <v>93</v>
      </c>
      <c r="E274" t="s">
        <v>20</v>
      </c>
      <c r="F274" t="s">
        <v>52</v>
      </c>
      <c r="G274">
        <v>13</v>
      </c>
      <c r="H274" s="10">
        <v>450</v>
      </c>
      <c r="I274" s="10">
        <v>5850</v>
      </c>
      <c r="J274">
        <v>0</v>
      </c>
      <c r="K274" s="10">
        <v>0</v>
      </c>
      <c r="L274">
        <v>13</v>
      </c>
      <c r="M274" s="10">
        <v>5850</v>
      </c>
      <c r="N274" t="s">
        <v>122</v>
      </c>
    </row>
    <row r="275" spans="1:14" x14ac:dyDescent="0.35">
      <c r="A275" t="s">
        <v>663</v>
      </c>
      <c r="B275" s="9">
        <v>45506</v>
      </c>
      <c r="C275" t="s">
        <v>51</v>
      </c>
      <c r="D275" t="s">
        <v>13</v>
      </c>
      <c r="E275" t="s">
        <v>14</v>
      </c>
      <c r="F275" t="s">
        <v>99</v>
      </c>
      <c r="G275">
        <v>17</v>
      </c>
      <c r="H275" s="10">
        <v>1500</v>
      </c>
      <c r="I275" s="10">
        <v>25500</v>
      </c>
      <c r="J275">
        <v>0</v>
      </c>
      <c r="K275" s="10">
        <v>0</v>
      </c>
      <c r="L275">
        <v>17</v>
      </c>
      <c r="M275" s="10">
        <v>25500</v>
      </c>
      <c r="N275" t="s">
        <v>122</v>
      </c>
    </row>
    <row r="276" spans="1:14" x14ac:dyDescent="0.35">
      <c r="A276" t="s">
        <v>375</v>
      </c>
      <c r="B276" s="9">
        <v>45507</v>
      </c>
      <c r="C276" t="s">
        <v>44</v>
      </c>
      <c r="D276" t="s">
        <v>79</v>
      </c>
      <c r="E276" t="s">
        <v>14</v>
      </c>
      <c r="F276" t="s">
        <v>72</v>
      </c>
      <c r="G276">
        <v>138</v>
      </c>
      <c r="H276" s="10">
        <v>400</v>
      </c>
      <c r="I276" s="10">
        <v>55200</v>
      </c>
      <c r="J276">
        <v>5</v>
      </c>
      <c r="K276" s="10">
        <v>2000</v>
      </c>
      <c r="L276">
        <v>133</v>
      </c>
      <c r="M276" s="10">
        <v>53200</v>
      </c>
      <c r="N276" t="s">
        <v>122</v>
      </c>
    </row>
    <row r="277" spans="1:14" x14ac:dyDescent="0.35">
      <c r="A277" t="s">
        <v>368</v>
      </c>
      <c r="B277" s="9">
        <v>45509</v>
      </c>
      <c r="C277" t="s">
        <v>96</v>
      </c>
      <c r="D277" t="s">
        <v>54</v>
      </c>
      <c r="E277" t="s">
        <v>753</v>
      </c>
      <c r="F277" t="s">
        <v>153</v>
      </c>
      <c r="G277">
        <v>27</v>
      </c>
      <c r="H277" s="10">
        <v>2800</v>
      </c>
      <c r="I277" s="10">
        <v>75600</v>
      </c>
      <c r="J277">
        <v>1</v>
      </c>
      <c r="K277" s="10">
        <v>2800</v>
      </c>
      <c r="L277">
        <v>26</v>
      </c>
      <c r="M277" s="10">
        <v>72800</v>
      </c>
      <c r="N277" t="s">
        <v>33</v>
      </c>
    </row>
    <row r="278" spans="1:14" x14ac:dyDescent="0.35">
      <c r="A278" t="s">
        <v>437</v>
      </c>
      <c r="B278" s="9">
        <v>45509</v>
      </c>
      <c r="C278" t="s">
        <v>74</v>
      </c>
      <c r="D278" t="s">
        <v>26</v>
      </c>
      <c r="E278" t="s">
        <v>14</v>
      </c>
      <c r="F278" t="s">
        <v>72</v>
      </c>
      <c r="G278">
        <v>83</v>
      </c>
      <c r="H278" s="10">
        <v>400</v>
      </c>
      <c r="I278" s="10">
        <v>33200</v>
      </c>
      <c r="J278">
        <v>0</v>
      </c>
      <c r="K278" s="10">
        <v>0</v>
      </c>
      <c r="L278">
        <v>83</v>
      </c>
      <c r="M278" s="10">
        <v>33200</v>
      </c>
      <c r="N278" t="s">
        <v>33</v>
      </c>
    </row>
    <row r="279" spans="1:14" x14ac:dyDescent="0.35">
      <c r="A279" t="s">
        <v>186</v>
      </c>
      <c r="B279" s="9">
        <v>45511</v>
      </c>
      <c r="C279" t="s">
        <v>44</v>
      </c>
      <c r="D279" t="s">
        <v>35</v>
      </c>
      <c r="E279" t="s">
        <v>14</v>
      </c>
      <c r="F279" t="s">
        <v>99</v>
      </c>
      <c r="G279">
        <v>83</v>
      </c>
      <c r="H279" s="10">
        <v>1500</v>
      </c>
      <c r="I279" s="10">
        <v>124500</v>
      </c>
      <c r="J279">
        <v>7</v>
      </c>
      <c r="K279" s="10">
        <v>10500</v>
      </c>
      <c r="L279">
        <v>76</v>
      </c>
      <c r="M279" s="10">
        <v>114000</v>
      </c>
      <c r="N279" t="s">
        <v>122</v>
      </c>
    </row>
    <row r="280" spans="1:14" x14ac:dyDescent="0.35">
      <c r="A280" t="s">
        <v>399</v>
      </c>
      <c r="B280" s="9">
        <v>45511</v>
      </c>
      <c r="C280" t="s">
        <v>44</v>
      </c>
      <c r="D280" t="s">
        <v>65</v>
      </c>
      <c r="E280" t="s">
        <v>14</v>
      </c>
      <c r="F280" t="s">
        <v>72</v>
      </c>
      <c r="G280">
        <v>90</v>
      </c>
      <c r="H280" s="10">
        <v>400</v>
      </c>
      <c r="I280" s="10">
        <v>36000</v>
      </c>
      <c r="J280">
        <v>9</v>
      </c>
      <c r="K280" s="10">
        <v>3600</v>
      </c>
      <c r="L280">
        <v>81</v>
      </c>
      <c r="M280" s="10">
        <v>32400</v>
      </c>
      <c r="N280" t="s">
        <v>122</v>
      </c>
    </row>
    <row r="281" spans="1:14" x14ac:dyDescent="0.35">
      <c r="A281" t="s">
        <v>538</v>
      </c>
      <c r="B281" s="9">
        <v>45512</v>
      </c>
      <c r="C281" t="s">
        <v>51</v>
      </c>
      <c r="D281" t="s">
        <v>93</v>
      </c>
      <c r="E281" t="s">
        <v>14</v>
      </c>
      <c r="F281" t="s">
        <v>27</v>
      </c>
      <c r="G281">
        <v>11</v>
      </c>
      <c r="H281" s="10">
        <v>1600</v>
      </c>
      <c r="I281" s="10">
        <v>17600</v>
      </c>
      <c r="J281">
        <v>1</v>
      </c>
      <c r="K281" s="10">
        <v>1600</v>
      </c>
      <c r="L281">
        <v>10</v>
      </c>
      <c r="M281" s="10">
        <v>16000</v>
      </c>
      <c r="N281" t="s">
        <v>33</v>
      </c>
    </row>
    <row r="282" spans="1:14" x14ac:dyDescent="0.35">
      <c r="A282" t="s">
        <v>614</v>
      </c>
      <c r="B282" s="9">
        <v>45512</v>
      </c>
      <c r="C282" t="s">
        <v>44</v>
      </c>
      <c r="D282" t="s">
        <v>79</v>
      </c>
      <c r="E282" t="s">
        <v>20</v>
      </c>
      <c r="F282" t="s">
        <v>97</v>
      </c>
      <c r="G282">
        <v>31</v>
      </c>
      <c r="H282" s="10">
        <v>500</v>
      </c>
      <c r="I282" s="10">
        <v>15500</v>
      </c>
      <c r="J282">
        <v>3</v>
      </c>
      <c r="K282" s="10">
        <v>1500</v>
      </c>
      <c r="L282">
        <v>28</v>
      </c>
      <c r="M282" s="10">
        <v>14000</v>
      </c>
      <c r="N282" t="s">
        <v>33</v>
      </c>
    </row>
    <row r="283" spans="1:14" x14ac:dyDescent="0.35">
      <c r="A283" t="s">
        <v>337</v>
      </c>
      <c r="B283" s="9">
        <v>45513</v>
      </c>
      <c r="C283" t="s">
        <v>44</v>
      </c>
      <c r="D283" t="s">
        <v>753</v>
      </c>
      <c r="E283" t="s">
        <v>31</v>
      </c>
      <c r="F283" t="s">
        <v>159</v>
      </c>
      <c r="G283">
        <v>52</v>
      </c>
      <c r="H283" s="10">
        <v>1800</v>
      </c>
      <c r="I283" s="10">
        <v>93600</v>
      </c>
      <c r="J283">
        <v>0</v>
      </c>
      <c r="K283" s="10">
        <v>0</v>
      </c>
      <c r="L283">
        <v>52</v>
      </c>
      <c r="M283" s="10">
        <v>93600</v>
      </c>
      <c r="N283" t="s">
        <v>62</v>
      </c>
    </row>
    <row r="284" spans="1:14" x14ac:dyDescent="0.35">
      <c r="A284" t="s">
        <v>666</v>
      </c>
      <c r="B284" s="9">
        <v>45513</v>
      </c>
      <c r="C284" t="s">
        <v>44</v>
      </c>
      <c r="D284" t="s">
        <v>41</v>
      </c>
      <c r="E284" t="s">
        <v>14</v>
      </c>
      <c r="F284" t="s">
        <v>70</v>
      </c>
      <c r="G284">
        <v>127</v>
      </c>
      <c r="H284" s="10">
        <v>1800</v>
      </c>
      <c r="I284" s="10">
        <v>228600</v>
      </c>
      <c r="J284">
        <v>1</v>
      </c>
      <c r="K284" s="10">
        <v>1800</v>
      </c>
      <c r="L284">
        <v>126</v>
      </c>
      <c r="M284" s="10">
        <v>226800</v>
      </c>
      <c r="N284" t="s">
        <v>122</v>
      </c>
    </row>
    <row r="285" spans="1:14" x14ac:dyDescent="0.35">
      <c r="A285" t="s">
        <v>147</v>
      </c>
      <c r="B285" s="9">
        <v>45514</v>
      </c>
      <c r="C285" t="s">
        <v>25</v>
      </c>
      <c r="D285" t="s">
        <v>35</v>
      </c>
      <c r="E285" t="s">
        <v>14</v>
      </c>
      <c r="F285" t="s">
        <v>99</v>
      </c>
      <c r="G285">
        <v>64</v>
      </c>
      <c r="H285" s="10">
        <v>1500</v>
      </c>
      <c r="I285" s="10">
        <v>96000</v>
      </c>
      <c r="J285">
        <v>6</v>
      </c>
      <c r="K285" s="10">
        <v>9000</v>
      </c>
      <c r="L285">
        <v>58</v>
      </c>
      <c r="M285" s="10">
        <v>87000</v>
      </c>
      <c r="N285" t="s">
        <v>33</v>
      </c>
    </row>
    <row r="286" spans="1:14" x14ac:dyDescent="0.35">
      <c r="A286" t="s">
        <v>376</v>
      </c>
      <c r="B286" s="9">
        <v>45514</v>
      </c>
      <c r="C286" t="s">
        <v>74</v>
      </c>
      <c r="D286" t="s">
        <v>54</v>
      </c>
      <c r="E286" t="s">
        <v>14</v>
      </c>
      <c r="F286" t="s">
        <v>15</v>
      </c>
      <c r="G286">
        <v>55</v>
      </c>
      <c r="H286" s="10">
        <v>1200</v>
      </c>
      <c r="I286" s="10">
        <v>66000</v>
      </c>
      <c r="J286">
        <v>5</v>
      </c>
      <c r="K286" s="10">
        <v>6000</v>
      </c>
      <c r="L286">
        <v>50</v>
      </c>
      <c r="M286" s="10">
        <v>60000</v>
      </c>
      <c r="N286" t="s">
        <v>122</v>
      </c>
    </row>
    <row r="287" spans="1:14" x14ac:dyDescent="0.35">
      <c r="A287" t="s">
        <v>433</v>
      </c>
      <c r="B287" s="9">
        <v>45514</v>
      </c>
      <c r="C287" t="s">
        <v>74</v>
      </c>
      <c r="D287" t="s">
        <v>26</v>
      </c>
      <c r="E287" t="s">
        <v>14</v>
      </c>
      <c r="F287" t="s">
        <v>27</v>
      </c>
      <c r="G287">
        <v>114</v>
      </c>
      <c r="H287" s="10">
        <v>1600</v>
      </c>
      <c r="I287" s="10">
        <v>182400</v>
      </c>
      <c r="J287">
        <v>1</v>
      </c>
      <c r="K287" s="10">
        <v>1600</v>
      </c>
      <c r="L287">
        <v>113</v>
      </c>
      <c r="M287" s="10">
        <v>180800</v>
      </c>
      <c r="N287" t="s">
        <v>33</v>
      </c>
    </row>
    <row r="288" spans="1:14" x14ac:dyDescent="0.35">
      <c r="A288" t="s">
        <v>568</v>
      </c>
      <c r="B288" s="9">
        <v>45514</v>
      </c>
      <c r="C288" t="s">
        <v>44</v>
      </c>
      <c r="D288" t="s">
        <v>35</v>
      </c>
      <c r="E288" t="s">
        <v>14</v>
      </c>
      <c r="F288" t="s">
        <v>61</v>
      </c>
      <c r="G288">
        <v>112</v>
      </c>
      <c r="H288" s="10">
        <v>2200</v>
      </c>
      <c r="I288" s="10">
        <v>246400</v>
      </c>
      <c r="J288">
        <v>8</v>
      </c>
      <c r="K288" s="10">
        <v>17600</v>
      </c>
      <c r="L288">
        <v>104</v>
      </c>
      <c r="M288" s="10">
        <v>228800</v>
      </c>
      <c r="N288" t="s">
        <v>33</v>
      </c>
    </row>
    <row r="289" spans="1:14" x14ac:dyDescent="0.35">
      <c r="A289" t="s">
        <v>671</v>
      </c>
      <c r="B289" s="9">
        <v>45514</v>
      </c>
      <c r="C289" t="s">
        <v>51</v>
      </c>
      <c r="D289" t="s">
        <v>65</v>
      </c>
      <c r="E289" t="s">
        <v>14</v>
      </c>
      <c r="F289" t="s">
        <v>72</v>
      </c>
      <c r="G289">
        <v>22</v>
      </c>
      <c r="H289" s="10">
        <v>400</v>
      </c>
      <c r="I289" s="10">
        <v>8800</v>
      </c>
      <c r="J289">
        <v>1</v>
      </c>
      <c r="K289" s="10">
        <v>400</v>
      </c>
      <c r="L289">
        <v>21</v>
      </c>
      <c r="M289" s="10">
        <v>8400</v>
      </c>
      <c r="N289" t="s">
        <v>33</v>
      </c>
    </row>
    <row r="290" spans="1:14" x14ac:dyDescent="0.35">
      <c r="A290" t="s">
        <v>270</v>
      </c>
      <c r="B290" s="9">
        <v>45515</v>
      </c>
      <c r="C290" t="s">
        <v>25</v>
      </c>
      <c r="D290" t="s">
        <v>13</v>
      </c>
      <c r="E290" t="s">
        <v>20</v>
      </c>
      <c r="F290" t="s">
        <v>133</v>
      </c>
      <c r="G290">
        <v>84</v>
      </c>
      <c r="H290" s="10">
        <v>1200</v>
      </c>
      <c r="I290" s="10">
        <v>100800</v>
      </c>
      <c r="J290">
        <v>0</v>
      </c>
      <c r="K290" s="10">
        <v>0</v>
      </c>
      <c r="L290">
        <v>84</v>
      </c>
      <c r="M290" s="10">
        <v>100800</v>
      </c>
      <c r="N290" t="s">
        <v>122</v>
      </c>
    </row>
    <row r="291" spans="1:14" x14ac:dyDescent="0.35">
      <c r="A291" t="s">
        <v>497</v>
      </c>
      <c r="B291" s="9">
        <v>45515</v>
      </c>
      <c r="C291" t="s">
        <v>25</v>
      </c>
      <c r="D291" t="s">
        <v>753</v>
      </c>
      <c r="E291" t="s">
        <v>31</v>
      </c>
      <c r="F291" t="s">
        <v>121</v>
      </c>
      <c r="G291">
        <v>62</v>
      </c>
      <c r="H291" s="10">
        <v>200</v>
      </c>
      <c r="I291" s="10">
        <v>12400</v>
      </c>
      <c r="J291">
        <v>2</v>
      </c>
      <c r="K291" s="10">
        <v>400</v>
      </c>
      <c r="L291">
        <v>60</v>
      </c>
      <c r="M291" s="10">
        <v>12000</v>
      </c>
      <c r="N291" t="s">
        <v>33</v>
      </c>
    </row>
    <row r="292" spans="1:14" x14ac:dyDescent="0.35">
      <c r="A292" t="s">
        <v>646</v>
      </c>
      <c r="B292" s="9">
        <v>45515</v>
      </c>
      <c r="C292" t="s">
        <v>96</v>
      </c>
      <c r="D292" t="s">
        <v>49</v>
      </c>
      <c r="E292" t="s">
        <v>31</v>
      </c>
      <c r="F292" t="s">
        <v>58</v>
      </c>
      <c r="G292">
        <v>189</v>
      </c>
      <c r="H292" s="10">
        <v>850</v>
      </c>
      <c r="I292" s="10">
        <v>160650</v>
      </c>
      <c r="J292">
        <v>1</v>
      </c>
      <c r="K292" s="10">
        <v>850</v>
      </c>
      <c r="L292">
        <v>188</v>
      </c>
      <c r="M292" s="10">
        <v>159800</v>
      </c>
      <c r="N292" t="s">
        <v>122</v>
      </c>
    </row>
    <row r="293" spans="1:14" x14ac:dyDescent="0.35">
      <c r="A293" t="s">
        <v>613</v>
      </c>
      <c r="B293" s="9">
        <v>45516</v>
      </c>
      <c r="C293" t="s">
        <v>18</v>
      </c>
      <c r="D293" t="s">
        <v>41</v>
      </c>
      <c r="E293" t="s">
        <v>20</v>
      </c>
      <c r="F293" t="s">
        <v>133</v>
      </c>
      <c r="G293">
        <v>15</v>
      </c>
      <c r="H293" s="10">
        <v>1200</v>
      </c>
      <c r="I293" s="10">
        <v>18000</v>
      </c>
      <c r="J293">
        <v>1</v>
      </c>
      <c r="K293" s="10">
        <v>1200</v>
      </c>
      <c r="L293">
        <v>14</v>
      </c>
      <c r="M293" s="10">
        <v>16800</v>
      </c>
      <c r="N293" t="s">
        <v>62</v>
      </c>
    </row>
    <row r="294" spans="1:14" x14ac:dyDescent="0.35">
      <c r="A294" t="s">
        <v>679</v>
      </c>
      <c r="B294" s="9">
        <v>45517</v>
      </c>
      <c r="C294" t="s">
        <v>44</v>
      </c>
      <c r="D294" t="s">
        <v>93</v>
      </c>
      <c r="E294" t="s">
        <v>20</v>
      </c>
      <c r="F294" t="s">
        <v>97</v>
      </c>
      <c r="G294">
        <v>59</v>
      </c>
      <c r="H294" s="10">
        <v>500</v>
      </c>
      <c r="I294" s="10">
        <v>29500</v>
      </c>
      <c r="J294">
        <v>5</v>
      </c>
      <c r="K294" s="10">
        <v>2500</v>
      </c>
      <c r="L294">
        <v>54</v>
      </c>
      <c r="M294" s="10">
        <v>27000</v>
      </c>
      <c r="N294" t="s">
        <v>62</v>
      </c>
    </row>
    <row r="295" spans="1:14" x14ac:dyDescent="0.35">
      <c r="A295" t="s">
        <v>684</v>
      </c>
      <c r="B295" s="9">
        <v>45517</v>
      </c>
      <c r="C295" t="s">
        <v>96</v>
      </c>
      <c r="D295" t="s">
        <v>49</v>
      </c>
      <c r="E295" t="s">
        <v>31</v>
      </c>
      <c r="F295" t="s">
        <v>58</v>
      </c>
      <c r="G295">
        <v>182</v>
      </c>
      <c r="H295" s="10">
        <v>850</v>
      </c>
      <c r="I295" s="10">
        <v>154700</v>
      </c>
      <c r="J295">
        <v>13</v>
      </c>
      <c r="K295" s="10">
        <v>11050</v>
      </c>
      <c r="L295">
        <v>169</v>
      </c>
      <c r="M295" s="10">
        <v>143650</v>
      </c>
      <c r="N295" t="s">
        <v>33</v>
      </c>
    </row>
    <row r="296" spans="1:14" x14ac:dyDescent="0.35">
      <c r="A296" t="s">
        <v>472</v>
      </c>
      <c r="B296" s="9">
        <v>45518</v>
      </c>
      <c r="C296" t="s">
        <v>74</v>
      </c>
      <c r="D296" t="s">
        <v>93</v>
      </c>
      <c r="E296" t="s">
        <v>14</v>
      </c>
      <c r="F296" t="s">
        <v>754</v>
      </c>
      <c r="G296">
        <v>193</v>
      </c>
      <c r="H296" s="10">
        <v>700</v>
      </c>
      <c r="I296" s="10">
        <v>135100</v>
      </c>
      <c r="J296">
        <v>10</v>
      </c>
      <c r="K296" s="10">
        <v>7000</v>
      </c>
      <c r="L296">
        <v>183</v>
      </c>
      <c r="M296" s="10">
        <v>128100</v>
      </c>
      <c r="N296" t="s">
        <v>33</v>
      </c>
    </row>
    <row r="297" spans="1:14" x14ac:dyDescent="0.35">
      <c r="A297" t="s">
        <v>506</v>
      </c>
      <c r="B297" s="9">
        <v>45518</v>
      </c>
      <c r="C297" t="s">
        <v>25</v>
      </c>
      <c r="D297" t="s">
        <v>19</v>
      </c>
      <c r="E297" t="s">
        <v>20</v>
      </c>
      <c r="F297" t="s">
        <v>36</v>
      </c>
      <c r="G297">
        <v>45</v>
      </c>
      <c r="H297" s="10">
        <v>900</v>
      </c>
      <c r="I297" s="10">
        <v>40500</v>
      </c>
      <c r="J297">
        <v>0</v>
      </c>
      <c r="K297" s="10">
        <v>0</v>
      </c>
      <c r="L297">
        <v>45</v>
      </c>
      <c r="M297" s="10">
        <v>40500</v>
      </c>
      <c r="N297" t="s">
        <v>62</v>
      </c>
    </row>
    <row r="298" spans="1:14" x14ac:dyDescent="0.35">
      <c r="A298" t="s">
        <v>209</v>
      </c>
      <c r="B298" s="9">
        <v>45520</v>
      </c>
      <c r="C298" t="s">
        <v>18</v>
      </c>
      <c r="D298" t="s">
        <v>35</v>
      </c>
      <c r="E298" t="s">
        <v>20</v>
      </c>
      <c r="F298" t="s">
        <v>52</v>
      </c>
      <c r="G298">
        <v>151</v>
      </c>
      <c r="H298" s="10">
        <v>450</v>
      </c>
      <c r="I298" s="10">
        <v>67950</v>
      </c>
      <c r="J298">
        <v>1</v>
      </c>
      <c r="K298" s="10">
        <v>450</v>
      </c>
      <c r="L298">
        <v>150</v>
      </c>
      <c r="M298" s="10">
        <v>67500</v>
      </c>
      <c r="N298" t="s">
        <v>33</v>
      </c>
    </row>
    <row r="299" spans="1:14" x14ac:dyDescent="0.35">
      <c r="A299" t="s">
        <v>491</v>
      </c>
      <c r="B299" s="9">
        <v>45520</v>
      </c>
      <c r="C299" t="s">
        <v>51</v>
      </c>
      <c r="D299" t="s">
        <v>93</v>
      </c>
      <c r="E299" t="s">
        <v>31</v>
      </c>
      <c r="F299" t="s">
        <v>32</v>
      </c>
      <c r="G299">
        <v>115</v>
      </c>
      <c r="H299" s="10">
        <v>1400</v>
      </c>
      <c r="I299" s="10">
        <v>161000</v>
      </c>
      <c r="J299">
        <v>0</v>
      </c>
      <c r="K299" s="10">
        <v>0</v>
      </c>
      <c r="L299">
        <v>115</v>
      </c>
      <c r="M299" s="10">
        <v>161000</v>
      </c>
      <c r="N299" t="s">
        <v>122</v>
      </c>
    </row>
    <row r="300" spans="1:14" x14ac:dyDescent="0.35">
      <c r="A300" t="s">
        <v>672</v>
      </c>
      <c r="B300" s="9">
        <v>45521</v>
      </c>
      <c r="C300" t="s">
        <v>18</v>
      </c>
      <c r="D300" t="s">
        <v>93</v>
      </c>
      <c r="E300" t="s">
        <v>20</v>
      </c>
      <c r="F300" t="s">
        <v>755</v>
      </c>
      <c r="G300">
        <v>29</v>
      </c>
      <c r="H300" s="10">
        <v>3500</v>
      </c>
      <c r="I300" s="10">
        <v>101500</v>
      </c>
      <c r="J300">
        <v>2</v>
      </c>
      <c r="K300" s="10">
        <v>7000</v>
      </c>
      <c r="L300">
        <v>27</v>
      </c>
      <c r="M300" s="10">
        <v>94500</v>
      </c>
      <c r="N300" t="s">
        <v>62</v>
      </c>
    </row>
    <row r="301" spans="1:14" x14ac:dyDescent="0.35">
      <c r="A301" t="s">
        <v>275</v>
      </c>
      <c r="B301" s="9">
        <v>45523</v>
      </c>
      <c r="C301" t="s">
        <v>51</v>
      </c>
      <c r="D301" t="s">
        <v>13</v>
      </c>
      <c r="E301" t="s">
        <v>31</v>
      </c>
      <c r="F301" t="s">
        <v>58</v>
      </c>
      <c r="G301">
        <v>31</v>
      </c>
      <c r="H301" s="10">
        <v>850</v>
      </c>
      <c r="I301" s="10">
        <v>26350</v>
      </c>
      <c r="J301">
        <v>1</v>
      </c>
      <c r="K301" s="10">
        <v>850</v>
      </c>
      <c r="L301">
        <v>30</v>
      </c>
      <c r="M301" s="10">
        <v>25500</v>
      </c>
      <c r="N301" t="s">
        <v>62</v>
      </c>
    </row>
    <row r="302" spans="1:14" x14ac:dyDescent="0.35">
      <c r="A302" t="s">
        <v>283</v>
      </c>
      <c r="B302" s="9">
        <v>45523</v>
      </c>
      <c r="C302" t="s">
        <v>44</v>
      </c>
      <c r="D302" t="s">
        <v>13</v>
      </c>
      <c r="E302" t="s">
        <v>31</v>
      </c>
      <c r="F302" t="s">
        <v>45</v>
      </c>
      <c r="G302">
        <v>44</v>
      </c>
      <c r="H302" s="10">
        <v>1200</v>
      </c>
      <c r="I302" s="10">
        <v>52800</v>
      </c>
      <c r="J302">
        <v>0</v>
      </c>
      <c r="K302" s="10">
        <v>0</v>
      </c>
      <c r="L302">
        <v>44</v>
      </c>
      <c r="M302" s="10">
        <v>52800</v>
      </c>
      <c r="N302" t="s">
        <v>62</v>
      </c>
    </row>
    <row r="303" spans="1:14" x14ac:dyDescent="0.35">
      <c r="A303" t="s">
        <v>608</v>
      </c>
      <c r="B303" s="9">
        <v>45523</v>
      </c>
      <c r="C303" t="s">
        <v>44</v>
      </c>
      <c r="D303" t="s">
        <v>19</v>
      </c>
      <c r="E303" t="s">
        <v>20</v>
      </c>
      <c r="F303" t="s">
        <v>52</v>
      </c>
      <c r="G303">
        <v>76</v>
      </c>
      <c r="H303" s="10">
        <v>450</v>
      </c>
      <c r="I303" s="10">
        <v>34200</v>
      </c>
      <c r="J303">
        <v>0</v>
      </c>
      <c r="K303" s="10">
        <v>0</v>
      </c>
      <c r="L303">
        <v>76</v>
      </c>
      <c r="M303" s="10">
        <v>34200</v>
      </c>
      <c r="N303" t="s">
        <v>33</v>
      </c>
    </row>
    <row r="304" spans="1:14" x14ac:dyDescent="0.35">
      <c r="A304" t="s">
        <v>225</v>
      </c>
      <c r="B304" s="9">
        <v>45524</v>
      </c>
      <c r="C304" t="s">
        <v>74</v>
      </c>
      <c r="D304" t="s">
        <v>41</v>
      </c>
      <c r="E304" t="s">
        <v>31</v>
      </c>
      <c r="F304" t="s">
        <v>159</v>
      </c>
      <c r="G304">
        <v>90</v>
      </c>
      <c r="H304" s="10">
        <v>1800</v>
      </c>
      <c r="I304" s="10">
        <v>162000</v>
      </c>
      <c r="J304">
        <v>0</v>
      </c>
      <c r="K304" s="10">
        <v>0</v>
      </c>
      <c r="L304">
        <v>90</v>
      </c>
      <c r="M304" s="10">
        <v>162000</v>
      </c>
      <c r="N304" t="s">
        <v>122</v>
      </c>
    </row>
    <row r="305" spans="1:14" x14ac:dyDescent="0.35">
      <c r="A305" t="s">
        <v>303</v>
      </c>
      <c r="B305" s="9">
        <v>45524</v>
      </c>
      <c r="C305" t="s">
        <v>25</v>
      </c>
      <c r="D305" t="s">
        <v>65</v>
      </c>
      <c r="E305" t="s">
        <v>31</v>
      </c>
      <c r="F305" t="s">
        <v>32</v>
      </c>
      <c r="G305">
        <v>53</v>
      </c>
      <c r="H305" s="10">
        <v>1400</v>
      </c>
      <c r="I305" s="10">
        <v>74200</v>
      </c>
      <c r="J305">
        <v>3</v>
      </c>
      <c r="K305" s="10">
        <v>4200</v>
      </c>
      <c r="L305">
        <v>50</v>
      </c>
      <c r="M305" s="10">
        <v>70000</v>
      </c>
      <c r="N305" t="s">
        <v>33</v>
      </c>
    </row>
    <row r="306" spans="1:14" x14ac:dyDescent="0.35">
      <c r="A306" t="s">
        <v>348</v>
      </c>
      <c r="B306" s="9">
        <v>45526</v>
      </c>
      <c r="C306" t="s">
        <v>74</v>
      </c>
      <c r="D306" t="s">
        <v>65</v>
      </c>
      <c r="E306" t="s">
        <v>14</v>
      </c>
      <c r="F306" t="s">
        <v>99</v>
      </c>
      <c r="G306">
        <v>166</v>
      </c>
      <c r="H306" s="10">
        <v>1500</v>
      </c>
      <c r="I306" s="10">
        <v>249000</v>
      </c>
      <c r="J306">
        <v>0</v>
      </c>
      <c r="K306" s="10">
        <v>0</v>
      </c>
      <c r="L306">
        <v>166</v>
      </c>
      <c r="M306" s="10">
        <v>249000</v>
      </c>
      <c r="N306" t="s">
        <v>33</v>
      </c>
    </row>
    <row r="307" spans="1:14" x14ac:dyDescent="0.35">
      <c r="A307" t="s">
        <v>557</v>
      </c>
      <c r="B307" s="9">
        <v>45526</v>
      </c>
      <c r="C307" t="s">
        <v>18</v>
      </c>
      <c r="D307" t="s">
        <v>41</v>
      </c>
      <c r="E307" t="s">
        <v>20</v>
      </c>
      <c r="F307" t="s">
        <v>755</v>
      </c>
      <c r="G307">
        <v>177</v>
      </c>
      <c r="H307" s="10">
        <v>3500</v>
      </c>
      <c r="I307" s="10">
        <v>619500</v>
      </c>
      <c r="J307">
        <v>0</v>
      </c>
      <c r="K307" s="10">
        <v>0</v>
      </c>
      <c r="L307">
        <v>177</v>
      </c>
      <c r="M307" s="10">
        <v>619500</v>
      </c>
      <c r="N307" t="s">
        <v>33</v>
      </c>
    </row>
    <row r="308" spans="1:14" x14ac:dyDescent="0.35">
      <c r="A308" t="s">
        <v>429</v>
      </c>
      <c r="B308" s="9">
        <v>45527</v>
      </c>
      <c r="C308" t="s">
        <v>51</v>
      </c>
      <c r="D308" t="s">
        <v>753</v>
      </c>
      <c r="E308" t="s">
        <v>753</v>
      </c>
      <c r="F308" t="s">
        <v>15</v>
      </c>
      <c r="G308">
        <v>162</v>
      </c>
      <c r="H308" s="10">
        <v>1200</v>
      </c>
      <c r="I308" s="10">
        <v>194400</v>
      </c>
      <c r="J308">
        <v>9</v>
      </c>
      <c r="K308" s="10">
        <v>10800</v>
      </c>
      <c r="L308">
        <v>153</v>
      </c>
      <c r="M308" s="10">
        <v>183600</v>
      </c>
      <c r="N308" t="s">
        <v>33</v>
      </c>
    </row>
    <row r="309" spans="1:14" x14ac:dyDescent="0.35">
      <c r="A309" t="s">
        <v>720</v>
      </c>
      <c r="B309" s="9">
        <v>45527</v>
      </c>
      <c r="C309" t="s">
        <v>18</v>
      </c>
      <c r="D309" t="s">
        <v>13</v>
      </c>
      <c r="E309" t="s">
        <v>31</v>
      </c>
      <c r="F309" t="s">
        <v>32</v>
      </c>
      <c r="G309">
        <v>107</v>
      </c>
      <c r="H309" s="10">
        <v>1400</v>
      </c>
      <c r="I309" s="10">
        <v>149800</v>
      </c>
      <c r="J309">
        <v>0</v>
      </c>
      <c r="K309" s="10">
        <v>0</v>
      </c>
      <c r="L309">
        <v>107</v>
      </c>
      <c r="M309" s="10">
        <v>149800</v>
      </c>
      <c r="N309" t="s">
        <v>122</v>
      </c>
    </row>
    <row r="310" spans="1:14" x14ac:dyDescent="0.35">
      <c r="A310" t="s">
        <v>540</v>
      </c>
      <c r="B310" s="9">
        <v>45528</v>
      </c>
      <c r="C310" t="s">
        <v>96</v>
      </c>
      <c r="D310" t="s">
        <v>753</v>
      </c>
      <c r="E310" t="s">
        <v>31</v>
      </c>
      <c r="F310" t="s">
        <v>89</v>
      </c>
      <c r="G310">
        <v>106</v>
      </c>
      <c r="H310" s="10">
        <v>900</v>
      </c>
      <c r="I310" s="10">
        <v>95400</v>
      </c>
      <c r="J310">
        <v>0</v>
      </c>
      <c r="K310" s="10">
        <v>0</v>
      </c>
      <c r="L310">
        <v>106</v>
      </c>
      <c r="M310" s="10">
        <v>95400</v>
      </c>
      <c r="N310" t="s">
        <v>122</v>
      </c>
    </row>
    <row r="311" spans="1:14" x14ac:dyDescent="0.35">
      <c r="A311" t="s">
        <v>405</v>
      </c>
      <c r="B311" s="9">
        <v>45529</v>
      </c>
      <c r="C311" t="s">
        <v>74</v>
      </c>
      <c r="D311" t="s">
        <v>54</v>
      </c>
      <c r="E311" t="s">
        <v>20</v>
      </c>
      <c r="F311" t="s">
        <v>97</v>
      </c>
      <c r="G311">
        <v>112</v>
      </c>
      <c r="H311" s="10">
        <v>500</v>
      </c>
      <c r="I311" s="10">
        <v>56000</v>
      </c>
      <c r="J311">
        <v>0</v>
      </c>
      <c r="K311" s="10">
        <v>0</v>
      </c>
      <c r="L311">
        <v>112</v>
      </c>
      <c r="M311" s="10">
        <v>56000</v>
      </c>
      <c r="N311" t="s">
        <v>33</v>
      </c>
    </row>
    <row r="312" spans="1:14" x14ac:dyDescent="0.35">
      <c r="A312" t="s">
        <v>558</v>
      </c>
      <c r="B312" s="9">
        <v>45529</v>
      </c>
      <c r="C312" t="s">
        <v>44</v>
      </c>
      <c r="D312" t="s">
        <v>26</v>
      </c>
      <c r="E312" t="s">
        <v>31</v>
      </c>
      <c r="F312" t="s">
        <v>121</v>
      </c>
      <c r="G312">
        <v>130</v>
      </c>
      <c r="H312" s="10">
        <v>200</v>
      </c>
      <c r="I312" s="10">
        <v>26000</v>
      </c>
      <c r="J312">
        <v>5</v>
      </c>
      <c r="K312" s="10">
        <v>1000</v>
      </c>
      <c r="L312">
        <v>125</v>
      </c>
      <c r="M312" s="10">
        <v>25000</v>
      </c>
      <c r="N312" t="s">
        <v>62</v>
      </c>
    </row>
    <row r="313" spans="1:14" x14ac:dyDescent="0.35">
      <c r="A313" t="s">
        <v>461</v>
      </c>
      <c r="B313" s="9">
        <v>45530</v>
      </c>
      <c r="C313" t="s">
        <v>25</v>
      </c>
      <c r="D313" t="s">
        <v>13</v>
      </c>
      <c r="E313" t="s">
        <v>31</v>
      </c>
      <c r="F313" t="s">
        <v>45</v>
      </c>
      <c r="G313">
        <v>17</v>
      </c>
      <c r="H313" s="10">
        <v>1200</v>
      </c>
      <c r="I313" s="10">
        <v>20400</v>
      </c>
      <c r="J313">
        <v>0</v>
      </c>
      <c r="K313" s="10">
        <v>0</v>
      </c>
      <c r="L313">
        <v>17</v>
      </c>
      <c r="M313" s="10">
        <v>20400</v>
      </c>
      <c r="N313" t="s">
        <v>33</v>
      </c>
    </row>
    <row r="314" spans="1:14" x14ac:dyDescent="0.35">
      <c r="A314" t="s">
        <v>680</v>
      </c>
      <c r="B314" s="9">
        <v>45531</v>
      </c>
      <c r="C314" t="s">
        <v>18</v>
      </c>
      <c r="D314" t="s">
        <v>93</v>
      </c>
      <c r="E314" t="s">
        <v>14</v>
      </c>
      <c r="F314" t="s">
        <v>61</v>
      </c>
      <c r="G314">
        <v>71</v>
      </c>
      <c r="H314" s="10">
        <v>2200</v>
      </c>
      <c r="I314" s="10">
        <v>156200</v>
      </c>
      <c r="J314">
        <v>4</v>
      </c>
      <c r="K314" s="10">
        <v>8800</v>
      </c>
      <c r="L314">
        <v>67</v>
      </c>
      <c r="M314" s="10">
        <v>147400</v>
      </c>
      <c r="N314" t="s">
        <v>62</v>
      </c>
    </row>
    <row r="315" spans="1:14" x14ac:dyDescent="0.35">
      <c r="A315" t="s">
        <v>574</v>
      </c>
      <c r="B315" s="9">
        <v>45532</v>
      </c>
      <c r="C315" t="s">
        <v>96</v>
      </c>
      <c r="D315" t="s">
        <v>49</v>
      </c>
      <c r="E315" t="s">
        <v>14</v>
      </c>
      <c r="F315" t="s">
        <v>72</v>
      </c>
      <c r="G315">
        <v>9</v>
      </c>
      <c r="H315" s="10">
        <v>400</v>
      </c>
      <c r="I315" s="10">
        <v>3600</v>
      </c>
      <c r="J315">
        <v>0</v>
      </c>
      <c r="K315" s="10">
        <v>0</v>
      </c>
      <c r="L315">
        <v>9</v>
      </c>
      <c r="M315" s="10">
        <v>3600</v>
      </c>
      <c r="N315" t="s">
        <v>122</v>
      </c>
    </row>
    <row r="316" spans="1:14" x14ac:dyDescent="0.35">
      <c r="A316" t="s">
        <v>113</v>
      </c>
      <c r="B316" s="9">
        <v>45533</v>
      </c>
      <c r="C316" t="s">
        <v>44</v>
      </c>
      <c r="D316" t="s">
        <v>65</v>
      </c>
      <c r="E316" t="s">
        <v>14</v>
      </c>
      <c r="F316" t="s">
        <v>27</v>
      </c>
      <c r="G316">
        <v>27</v>
      </c>
      <c r="H316" s="10">
        <v>1600</v>
      </c>
      <c r="I316" s="10">
        <v>43200</v>
      </c>
      <c r="J316">
        <v>2</v>
      </c>
      <c r="K316" s="10">
        <v>3200</v>
      </c>
      <c r="L316">
        <v>25</v>
      </c>
      <c r="M316" s="10">
        <v>40000</v>
      </c>
      <c r="N316" t="s">
        <v>122</v>
      </c>
    </row>
    <row r="317" spans="1:14" x14ac:dyDescent="0.35">
      <c r="A317" t="s">
        <v>669</v>
      </c>
      <c r="B317" s="9">
        <v>45533</v>
      </c>
      <c r="C317" t="s">
        <v>51</v>
      </c>
      <c r="D317" t="s">
        <v>49</v>
      </c>
      <c r="E317" t="s">
        <v>20</v>
      </c>
      <c r="F317" t="s">
        <v>133</v>
      </c>
      <c r="G317">
        <v>170</v>
      </c>
      <c r="H317" s="10">
        <v>1200</v>
      </c>
      <c r="I317" s="10">
        <v>204000</v>
      </c>
      <c r="J317">
        <v>13</v>
      </c>
      <c r="K317" s="10">
        <v>15600</v>
      </c>
      <c r="L317">
        <v>157</v>
      </c>
      <c r="M317" s="10">
        <v>188400</v>
      </c>
      <c r="N317" t="s">
        <v>33</v>
      </c>
    </row>
    <row r="318" spans="1:14" x14ac:dyDescent="0.35">
      <c r="A318" t="s">
        <v>86</v>
      </c>
      <c r="B318" s="9">
        <v>45534</v>
      </c>
      <c r="C318" t="s">
        <v>74</v>
      </c>
      <c r="D318" t="s">
        <v>65</v>
      </c>
      <c r="E318" t="s">
        <v>31</v>
      </c>
      <c r="F318" t="s">
        <v>89</v>
      </c>
      <c r="G318">
        <v>95</v>
      </c>
      <c r="H318" s="10">
        <v>900</v>
      </c>
      <c r="I318" s="10">
        <v>85500</v>
      </c>
      <c r="J318">
        <v>1</v>
      </c>
      <c r="K318" s="10">
        <v>900</v>
      </c>
      <c r="L318">
        <v>94</v>
      </c>
      <c r="M318" s="10">
        <v>84600</v>
      </c>
      <c r="N318" t="s">
        <v>33</v>
      </c>
    </row>
    <row r="319" spans="1:14" x14ac:dyDescent="0.35">
      <c r="A319" t="s">
        <v>231</v>
      </c>
      <c r="B319" s="9">
        <v>45534</v>
      </c>
      <c r="C319" t="s">
        <v>18</v>
      </c>
      <c r="D319" t="s">
        <v>26</v>
      </c>
      <c r="E319" t="s">
        <v>20</v>
      </c>
      <c r="F319" t="s">
        <v>36</v>
      </c>
      <c r="G319">
        <v>193</v>
      </c>
      <c r="H319" s="10">
        <v>900</v>
      </c>
      <c r="I319" s="10">
        <v>173700</v>
      </c>
      <c r="J319">
        <v>0</v>
      </c>
      <c r="K319" s="10">
        <v>0</v>
      </c>
      <c r="L319">
        <v>193</v>
      </c>
      <c r="M319" s="10">
        <v>173700</v>
      </c>
      <c r="N319" t="s">
        <v>122</v>
      </c>
    </row>
    <row r="320" spans="1:14" x14ac:dyDescent="0.35">
      <c r="A320" t="s">
        <v>182</v>
      </c>
      <c r="B320" s="9">
        <v>45535</v>
      </c>
      <c r="C320" t="s">
        <v>96</v>
      </c>
      <c r="D320" t="s">
        <v>65</v>
      </c>
      <c r="E320" t="s">
        <v>20</v>
      </c>
      <c r="F320" t="s">
        <v>97</v>
      </c>
      <c r="G320">
        <v>134</v>
      </c>
      <c r="H320" s="10">
        <v>500</v>
      </c>
      <c r="I320" s="10">
        <v>67000</v>
      </c>
      <c r="J320">
        <v>0</v>
      </c>
      <c r="K320" s="10">
        <v>0</v>
      </c>
      <c r="L320">
        <v>134</v>
      </c>
      <c r="M320" s="10">
        <v>67000</v>
      </c>
      <c r="N320" t="s">
        <v>122</v>
      </c>
    </row>
    <row r="321" spans="1:14" x14ac:dyDescent="0.35">
      <c r="A321" t="s">
        <v>302</v>
      </c>
      <c r="B321" s="9">
        <v>45535</v>
      </c>
      <c r="C321" t="s">
        <v>74</v>
      </c>
      <c r="D321" t="s">
        <v>93</v>
      </c>
      <c r="E321" t="s">
        <v>31</v>
      </c>
      <c r="F321" t="s">
        <v>89</v>
      </c>
      <c r="G321">
        <v>72</v>
      </c>
      <c r="H321" s="10">
        <v>900</v>
      </c>
      <c r="I321" s="10">
        <v>64800</v>
      </c>
      <c r="J321">
        <v>4</v>
      </c>
      <c r="K321" s="10">
        <v>3600</v>
      </c>
      <c r="L321">
        <v>68</v>
      </c>
      <c r="M321" s="10">
        <v>61200</v>
      </c>
      <c r="N321" t="s">
        <v>62</v>
      </c>
    </row>
    <row r="322" spans="1:14" x14ac:dyDescent="0.35">
      <c r="A322" t="s">
        <v>408</v>
      </c>
      <c r="B322" s="9">
        <v>45535</v>
      </c>
      <c r="C322" t="s">
        <v>18</v>
      </c>
      <c r="D322" t="s">
        <v>79</v>
      </c>
      <c r="E322" t="s">
        <v>14</v>
      </c>
      <c r="F322" t="s">
        <v>27</v>
      </c>
      <c r="G322">
        <v>106</v>
      </c>
      <c r="H322" s="10">
        <v>1600</v>
      </c>
      <c r="I322" s="10">
        <v>169600</v>
      </c>
      <c r="J322">
        <v>9</v>
      </c>
      <c r="K322" s="10">
        <v>14400</v>
      </c>
      <c r="L322">
        <v>97</v>
      </c>
      <c r="M322" s="10">
        <v>155200</v>
      </c>
      <c r="N322" t="s">
        <v>122</v>
      </c>
    </row>
    <row r="323" spans="1:14" x14ac:dyDescent="0.35">
      <c r="A323" t="s">
        <v>467</v>
      </c>
      <c r="B323" s="9">
        <v>45536</v>
      </c>
      <c r="C323" t="s">
        <v>44</v>
      </c>
      <c r="D323" t="s">
        <v>54</v>
      </c>
      <c r="E323" t="s">
        <v>20</v>
      </c>
      <c r="F323" t="s">
        <v>36</v>
      </c>
      <c r="G323">
        <v>139</v>
      </c>
      <c r="H323" s="10">
        <v>900</v>
      </c>
      <c r="I323" s="10">
        <v>125100</v>
      </c>
      <c r="J323">
        <v>9</v>
      </c>
      <c r="K323" s="10">
        <v>8100</v>
      </c>
      <c r="L323">
        <v>130</v>
      </c>
      <c r="M323" s="10">
        <v>117000</v>
      </c>
      <c r="N323" t="s">
        <v>33</v>
      </c>
    </row>
    <row r="324" spans="1:14" x14ac:dyDescent="0.35">
      <c r="A324" t="s">
        <v>242</v>
      </c>
      <c r="B324" s="9">
        <v>45537</v>
      </c>
      <c r="C324" t="s">
        <v>74</v>
      </c>
      <c r="D324" t="s">
        <v>93</v>
      </c>
      <c r="E324" t="s">
        <v>31</v>
      </c>
      <c r="F324" t="s">
        <v>55</v>
      </c>
      <c r="G324">
        <v>11</v>
      </c>
      <c r="H324" s="10">
        <v>1100</v>
      </c>
      <c r="I324" s="10">
        <v>12100</v>
      </c>
      <c r="J324">
        <v>0</v>
      </c>
      <c r="K324" s="10">
        <v>0</v>
      </c>
      <c r="L324">
        <v>11</v>
      </c>
      <c r="M324" s="10">
        <v>12100</v>
      </c>
      <c r="N324" t="s">
        <v>33</v>
      </c>
    </row>
    <row r="325" spans="1:14" x14ac:dyDescent="0.35">
      <c r="A325" t="s">
        <v>71</v>
      </c>
      <c r="B325" s="9">
        <v>45538</v>
      </c>
      <c r="C325" t="s">
        <v>44</v>
      </c>
      <c r="D325" t="s">
        <v>65</v>
      </c>
      <c r="E325" t="s">
        <v>14</v>
      </c>
      <c r="F325" t="s">
        <v>72</v>
      </c>
      <c r="G325">
        <v>11</v>
      </c>
      <c r="H325" s="10">
        <v>400</v>
      </c>
      <c r="I325" s="10">
        <v>4400</v>
      </c>
      <c r="J325">
        <v>0</v>
      </c>
      <c r="K325" s="10">
        <v>0</v>
      </c>
      <c r="L325">
        <v>11</v>
      </c>
      <c r="M325" s="10">
        <v>4400</v>
      </c>
      <c r="N325" t="s">
        <v>122</v>
      </c>
    </row>
    <row r="326" spans="1:14" x14ac:dyDescent="0.35">
      <c r="A326" t="s">
        <v>600</v>
      </c>
      <c r="B326" s="9">
        <v>45538</v>
      </c>
      <c r="C326" t="s">
        <v>74</v>
      </c>
      <c r="D326" t="s">
        <v>65</v>
      </c>
      <c r="E326" t="s">
        <v>20</v>
      </c>
      <c r="F326" t="s">
        <v>153</v>
      </c>
      <c r="G326">
        <v>7</v>
      </c>
      <c r="H326" s="10">
        <v>2800</v>
      </c>
      <c r="I326" s="10">
        <v>19600</v>
      </c>
      <c r="J326">
        <v>0</v>
      </c>
      <c r="K326" s="10">
        <v>0</v>
      </c>
      <c r="L326">
        <v>7</v>
      </c>
      <c r="M326" s="10">
        <v>19600</v>
      </c>
      <c r="N326" t="s">
        <v>33</v>
      </c>
    </row>
    <row r="327" spans="1:14" x14ac:dyDescent="0.35">
      <c r="A327" t="s">
        <v>370</v>
      </c>
      <c r="B327" s="9">
        <v>45539</v>
      </c>
      <c r="C327" t="s">
        <v>25</v>
      </c>
      <c r="D327" t="s">
        <v>49</v>
      </c>
      <c r="E327" t="s">
        <v>20</v>
      </c>
      <c r="F327" t="s">
        <v>52</v>
      </c>
      <c r="G327">
        <v>83</v>
      </c>
      <c r="H327" s="10">
        <v>450</v>
      </c>
      <c r="I327" s="10">
        <v>37350</v>
      </c>
      <c r="J327">
        <v>6</v>
      </c>
      <c r="K327" s="10">
        <v>2700</v>
      </c>
      <c r="L327">
        <v>77</v>
      </c>
      <c r="M327" s="10">
        <v>34650</v>
      </c>
      <c r="N327" t="s">
        <v>33</v>
      </c>
    </row>
    <row r="328" spans="1:14" x14ac:dyDescent="0.35">
      <c r="A328" t="s">
        <v>655</v>
      </c>
      <c r="B328" s="9">
        <v>45539</v>
      </c>
      <c r="C328" t="s">
        <v>44</v>
      </c>
      <c r="D328" t="s">
        <v>79</v>
      </c>
      <c r="E328" t="s">
        <v>20</v>
      </c>
      <c r="F328" t="s">
        <v>755</v>
      </c>
      <c r="G328">
        <v>193</v>
      </c>
      <c r="H328" s="10">
        <v>3500</v>
      </c>
      <c r="I328" s="10">
        <v>675500</v>
      </c>
      <c r="J328">
        <v>10</v>
      </c>
      <c r="K328" s="10">
        <v>35000</v>
      </c>
      <c r="L328">
        <v>183</v>
      </c>
      <c r="M328" s="10">
        <v>640500</v>
      </c>
      <c r="N328" t="s">
        <v>753</v>
      </c>
    </row>
    <row r="329" spans="1:14" x14ac:dyDescent="0.35">
      <c r="A329" t="s">
        <v>708</v>
      </c>
      <c r="B329" s="9">
        <v>45539</v>
      </c>
      <c r="C329" t="s">
        <v>74</v>
      </c>
      <c r="D329" t="s">
        <v>65</v>
      </c>
      <c r="E329" t="s">
        <v>31</v>
      </c>
      <c r="F329" t="s">
        <v>81</v>
      </c>
      <c r="G329">
        <v>193</v>
      </c>
      <c r="H329" s="10">
        <v>650</v>
      </c>
      <c r="I329" s="10">
        <v>125450</v>
      </c>
      <c r="J329">
        <v>4</v>
      </c>
      <c r="K329" s="10">
        <v>2600</v>
      </c>
      <c r="L329">
        <v>189</v>
      </c>
      <c r="M329" s="10">
        <v>122850</v>
      </c>
      <c r="N329" t="s">
        <v>33</v>
      </c>
    </row>
    <row r="330" spans="1:14" x14ac:dyDescent="0.35">
      <c r="A330" t="s">
        <v>124</v>
      </c>
      <c r="B330" s="9">
        <v>45540</v>
      </c>
      <c r="C330" t="s">
        <v>18</v>
      </c>
      <c r="D330" t="s">
        <v>26</v>
      </c>
      <c r="E330" t="s">
        <v>31</v>
      </c>
      <c r="F330" t="s">
        <v>45</v>
      </c>
      <c r="G330">
        <v>159</v>
      </c>
      <c r="H330" s="10">
        <v>1200</v>
      </c>
      <c r="I330" s="10">
        <v>190800</v>
      </c>
      <c r="J330">
        <v>2</v>
      </c>
      <c r="K330" s="10">
        <v>2400</v>
      </c>
      <c r="L330">
        <v>157</v>
      </c>
      <c r="M330" s="10">
        <v>188400</v>
      </c>
      <c r="N330" t="s">
        <v>33</v>
      </c>
    </row>
    <row r="331" spans="1:14" x14ac:dyDescent="0.35">
      <c r="A331" t="s">
        <v>593</v>
      </c>
      <c r="B331" s="9">
        <v>45540</v>
      </c>
      <c r="C331" t="s">
        <v>25</v>
      </c>
      <c r="D331" t="s">
        <v>79</v>
      </c>
      <c r="E331" t="s">
        <v>20</v>
      </c>
      <c r="F331" t="s">
        <v>755</v>
      </c>
      <c r="G331">
        <v>160</v>
      </c>
      <c r="H331" s="10">
        <v>3500</v>
      </c>
      <c r="I331" s="10">
        <v>560000</v>
      </c>
      <c r="J331">
        <v>13</v>
      </c>
      <c r="K331" s="10">
        <v>45500</v>
      </c>
      <c r="L331">
        <v>147</v>
      </c>
      <c r="M331" s="10">
        <v>514500</v>
      </c>
      <c r="N331" t="s">
        <v>122</v>
      </c>
    </row>
    <row r="332" spans="1:14" x14ac:dyDescent="0.35">
      <c r="A332" t="s">
        <v>601</v>
      </c>
      <c r="B332" s="9">
        <v>45541</v>
      </c>
      <c r="C332" t="s">
        <v>51</v>
      </c>
      <c r="D332" t="s">
        <v>41</v>
      </c>
      <c r="E332" t="s">
        <v>20</v>
      </c>
      <c r="F332" t="s">
        <v>153</v>
      </c>
      <c r="G332">
        <v>169</v>
      </c>
      <c r="H332" s="10">
        <v>2800</v>
      </c>
      <c r="I332" s="10">
        <v>473200</v>
      </c>
      <c r="J332">
        <v>1</v>
      </c>
      <c r="K332" s="10">
        <v>2800</v>
      </c>
      <c r="L332">
        <v>168</v>
      </c>
      <c r="M332" s="10">
        <v>470400</v>
      </c>
      <c r="N332" t="s">
        <v>62</v>
      </c>
    </row>
    <row r="333" spans="1:14" x14ac:dyDescent="0.35">
      <c r="A333" t="s">
        <v>532</v>
      </c>
      <c r="B333" s="9">
        <v>45542</v>
      </c>
      <c r="C333" t="s">
        <v>74</v>
      </c>
      <c r="D333" t="s">
        <v>65</v>
      </c>
      <c r="E333" t="s">
        <v>14</v>
      </c>
      <c r="F333" t="s">
        <v>70</v>
      </c>
      <c r="G333">
        <v>121</v>
      </c>
      <c r="H333" s="10">
        <v>1800</v>
      </c>
      <c r="I333" s="10">
        <v>217800</v>
      </c>
      <c r="J333">
        <v>10</v>
      </c>
      <c r="K333" s="10">
        <v>18000</v>
      </c>
      <c r="L333">
        <v>111</v>
      </c>
      <c r="M333" s="10">
        <v>199800</v>
      </c>
      <c r="N333" t="s">
        <v>33</v>
      </c>
    </row>
    <row r="334" spans="1:14" x14ac:dyDescent="0.35">
      <c r="A334" t="s">
        <v>539</v>
      </c>
      <c r="B334" s="9">
        <v>45542</v>
      </c>
      <c r="C334" t="s">
        <v>51</v>
      </c>
      <c r="D334" t="s">
        <v>26</v>
      </c>
      <c r="E334" t="s">
        <v>20</v>
      </c>
      <c r="F334" t="s">
        <v>153</v>
      </c>
      <c r="G334">
        <v>148</v>
      </c>
      <c r="H334" s="10">
        <v>2800</v>
      </c>
      <c r="I334" s="10">
        <v>414400</v>
      </c>
      <c r="J334">
        <v>12</v>
      </c>
      <c r="K334" s="10">
        <v>33600</v>
      </c>
      <c r="L334">
        <v>136</v>
      </c>
      <c r="M334" s="10">
        <v>380800</v>
      </c>
      <c r="N334" t="s">
        <v>122</v>
      </c>
    </row>
    <row r="335" spans="1:14" x14ac:dyDescent="0.35">
      <c r="A335" t="s">
        <v>709</v>
      </c>
      <c r="B335" s="9">
        <v>45542</v>
      </c>
      <c r="C335" t="s">
        <v>96</v>
      </c>
      <c r="D335" t="s">
        <v>49</v>
      </c>
      <c r="E335" t="s">
        <v>20</v>
      </c>
      <c r="F335" t="s">
        <v>133</v>
      </c>
      <c r="G335">
        <v>149</v>
      </c>
      <c r="H335" s="10">
        <v>1200</v>
      </c>
      <c r="I335" s="10">
        <v>178800</v>
      </c>
      <c r="J335">
        <v>5</v>
      </c>
      <c r="K335" s="10">
        <v>6000</v>
      </c>
      <c r="L335">
        <v>144</v>
      </c>
      <c r="M335" s="10">
        <v>172800</v>
      </c>
      <c r="N335" t="s">
        <v>122</v>
      </c>
    </row>
    <row r="336" spans="1:14" x14ac:dyDescent="0.35">
      <c r="A336" t="s">
        <v>154</v>
      </c>
      <c r="B336" s="9">
        <v>45543</v>
      </c>
      <c r="C336" t="s">
        <v>25</v>
      </c>
      <c r="D336" t="s">
        <v>49</v>
      </c>
      <c r="E336" t="s">
        <v>14</v>
      </c>
      <c r="F336" t="s">
        <v>99</v>
      </c>
      <c r="G336">
        <v>87</v>
      </c>
      <c r="H336" s="10">
        <v>1500</v>
      </c>
      <c r="I336" s="10">
        <v>130500</v>
      </c>
      <c r="J336">
        <v>4</v>
      </c>
      <c r="K336" s="10">
        <v>6000</v>
      </c>
      <c r="L336">
        <v>83</v>
      </c>
      <c r="M336" s="10">
        <v>124500</v>
      </c>
      <c r="N336" t="s">
        <v>122</v>
      </c>
    </row>
    <row r="337" spans="1:14" x14ac:dyDescent="0.35">
      <c r="A337" t="s">
        <v>216</v>
      </c>
      <c r="B337" s="9">
        <v>45544</v>
      </c>
      <c r="C337" t="s">
        <v>74</v>
      </c>
      <c r="D337" t="s">
        <v>35</v>
      </c>
      <c r="E337" t="s">
        <v>20</v>
      </c>
      <c r="F337" t="s">
        <v>36</v>
      </c>
      <c r="G337">
        <v>130</v>
      </c>
      <c r="H337" s="10">
        <v>900</v>
      </c>
      <c r="I337" s="10">
        <v>117000</v>
      </c>
      <c r="J337">
        <v>0</v>
      </c>
      <c r="K337" s="10">
        <v>0</v>
      </c>
      <c r="L337">
        <v>130</v>
      </c>
      <c r="M337" s="10">
        <v>117000</v>
      </c>
      <c r="N337" t="s">
        <v>33</v>
      </c>
    </row>
    <row r="338" spans="1:14" x14ac:dyDescent="0.35">
      <c r="A338" t="s">
        <v>505</v>
      </c>
      <c r="B338" s="9">
        <v>45544</v>
      </c>
      <c r="C338" t="s">
        <v>25</v>
      </c>
      <c r="D338" t="s">
        <v>13</v>
      </c>
      <c r="E338" t="s">
        <v>31</v>
      </c>
      <c r="F338" t="s">
        <v>159</v>
      </c>
      <c r="G338">
        <v>44</v>
      </c>
      <c r="H338" s="10">
        <v>1800</v>
      </c>
      <c r="I338" s="10">
        <v>79200</v>
      </c>
      <c r="J338">
        <v>2</v>
      </c>
      <c r="K338" s="10">
        <v>3600</v>
      </c>
      <c r="L338">
        <v>42</v>
      </c>
      <c r="M338" s="10">
        <v>75600</v>
      </c>
      <c r="N338" t="s">
        <v>122</v>
      </c>
    </row>
    <row r="339" spans="1:14" x14ac:dyDescent="0.35">
      <c r="A339" t="s">
        <v>559</v>
      </c>
      <c r="B339" s="9">
        <v>45544</v>
      </c>
      <c r="C339" t="s">
        <v>74</v>
      </c>
      <c r="D339" t="s">
        <v>79</v>
      </c>
      <c r="E339" t="s">
        <v>31</v>
      </c>
      <c r="F339" t="s">
        <v>45</v>
      </c>
      <c r="G339">
        <v>19</v>
      </c>
      <c r="H339" s="10">
        <v>1200</v>
      </c>
      <c r="I339" s="10">
        <v>22800</v>
      </c>
      <c r="J339">
        <v>0</v>
      </c>
      <c r="K339" s="10">
        <v>0</v>
      </c>
      <c r="L339">
        <v>19</v>
      </c>
      <c r="M339" s="10">
        <v>22800</v>
      </c>
      <c r="N339" t="s">
        <v>122</v>
      </c>
    </row>
    <row r="340" spans="1:14" x14ac:dyDescent="0.35">
      <c r="A340" t="s">
        <v>213</v>
      </c>
      <c r="B340" s="9">
        <v>45545</v>
      </c>
      <c r="C340" t="s">
        <v>51</v>
      </c>
      <c r="D340" t="s">
        <v>93</v>
      </c>
      <c r="E340" t="s">
        <v>14</v>
      </c>
      <c r="F340" t="s">
        <v>27</v>
      </c>
      <c r="G340">
        <v>129</v>
      </c>
      <c r="H340" s="10">
        <v>1600</v>
      </c>
      <c r="I340" s="10">
        <v>206400</v>
      </c>
      <c r="J340">
        <v>7</v>
      </c>
      <c r="K340" s="10">
        <v>11200</v>
      </c>
      <c r="L340">
        <v>122</v>
      </c>
      <c r="M340" s="10">
        <v>195200</v>
      </c>
      <c r="N340" t="s">
        <v>62</v>
      </c>
    </row>
    <row r="341" spans="1:14" x14ac:dyDescent="0.35">
      <c r="A341" t="s">
        <v>446</v>
      </c>
      <c r="B341" s="9">
        <v>45546</v>
      </c>
      <c r="C341" t="s">
        <v>18</v>
      </c>
      <c r="D341" t="s">
        <v>35</v>
      </c>
      <c r="E341" t="s">
        <v>20</v>
      </c>
      <c r="F341" t="s">
        <v>52</v>
      </c>
      <c r="G341">
        <v>141</v>
      </c>
      <c r="H341" s="10">
        <v>450</v>
      </c>
      <c r="I341" s="10">
        <v>63450</v>
      </c>
      <c r="J341">
        <v>0</v>
      </c>
      <c r="K341" s="10">
        <v>0</v>
      </c>
      <c r="L341">
        <v>141</v>
      </c>
      <c r="M341" s="10">
        <v>63450</v>
      </c>
      <c r="N341" t="s">
        <v>62</v>
      </c>
    </row>
    <row r="342" spans="1:14" x14ac:dyDescent="0.35">
      <c r="A342" t="s">
        <v>23</v>
      </c>
      <c r="B342" s="9">
        <v>45547</v>
      </c>
      <c r="C342" t="s">
        <v>25</v>
      </c>
      <c r="D342" t="s">
        <v>26</v>
      </c>
      <c r="E342" t="s">
        <v>14</v>
      </c>
      <c r="F342" t="s">
        <v>27</v>
      </c>
      <c r="G342">
        <v>197</v>
      </c>
      <c r="H342" s="10">
        <v>1600</v>
      </c>
      <c r="I342" s="10">
        <v>315200</v>
      </c>
      <c r="J342">
        <v>0</v>
      </c>
      <c r="K342" s="10">
        <v>0</v>
      </c>
      <c r="L342">
        <v>197</v>
      </c>
      <c r="M342" s="10">
        <v>315200</v>
      </c>
      <c r="N342" t="s">
        <v>122</v>
      </c>
    </row>
    <row r="343" spans="1:14" x14ac:dyDescent="0.35">
      <c r="A343" t="s">
        <v>229</v>
      </c>
      <c r="B343" s="9">
        <v>45547</v>
      </c>
      <c r="C343" t="s">
        <v>44</v>
      </c>
      <c r="D343" t="s">
        <v>79</v>
      </c>
      <c r="E343" t="s">
        <v>20</v>
      </c>
      <c r="F343" t="s">
        <v>133</v>
      </c>
      <c r="G343">
        <v>28</v>
      </c>
      <c r="H343" s="10">
        <v>1200</v>
      </c>
      <c r="I343" s="10">
        <v>33600</v>
      </c>
      <c r="J343">
        <v>2</v>
      </c>
      <c r="K343" s="10">
        <v>2400</v>
      </c>
      <c r="L343">
        <v>26</v>
      </c>
      <c r="M343" s="10">
        <v>31200</v>
      </c>
      <c r="N343" t="s">
        <v>122</v>
      </c>
    </row>
    <row r="344" spans="1:14" x14ac:dyDescent="0.35">
      <c r="A344" t="s">
        <v>314</v>
      </c>
      <c r="B344" s="9">
        <v>45547</v>
      </c>
      <c r="C344" t="s">
        <v>25</v>
      </c>
      <c r="D344" t="s">
        <v>49</v>
      </c>
      <c r="E344" t="s">
        <v>31</v>
      </c>
      <c r="F344" t="s">
        <v>159</v>
      </c>
      <c r="G344">
        <v>122</v>
      </c>
      <c r="H344" s="10">
        <v>1800</v>
      </c>
      <c r="I344" s="10">
        <v>219600</v>
      </c>
      <c r="J344">
        <v>8</v>
      </c>
      <c r="K344" s="10">
        <v>14400</v>
      </c>
      <c r="L344">
        <v>114</v>
      </c>
      <c r="M344" s="10">
        <v>205200</v>
      </c>
      <c r="N344" t="s">
        <v>62</v>
      </c>
    </row>
    <row r="345" spans="1:14" x14ac:dyDescent="0.35">
      <c r="A345" t="s">
        <v>638</v>
      </c>
      <c r="B345" s="9">
        <v>45547</v>
      </c>
      <c r="C345" t="s">
        <v>18</v>
      </c>
      <c r="D345" t="s">
        <v>49</v>
      </c>
      <c r="E345" t="s">
        <v>31</v>
      </c>
      <c r="F345" t="s">
        <v>32</v>
      </c>
      <c r="G345">
        <v>52</v>
      </c>
      <c r="H345" s="10">
        <v>1400</v>
      </c>
      <c r="I345" s="10">
        <v>72800</v>
      </c>
      <c r="J345">
        <v>3</v>
      </c>
      <c r="K345" s="10">
        <v>4200</v>
      </c>
      <c r="L345">
        <v>49</v>
      </c>
      <c r="M345" s="10">
        <v>68600</v>
      </c>
      <c r="N345" t="s">
        <v>753</v>
      </c>
    </row>
    <row r="346" spans="1:14" x14ac:dyDescent="0.35">
      <c r="A346" t="s">
        <v>404</v>
      </c>
      <c r="B346" s="9">
        <v>45548</v>
      </c>
      <c r="C346" t="s">
        <v>51</v>
      </c>
      <c r="D346" t="s">
        <v>41</v>
      </c>
      <c r="E346" t="s">
        <v>14</v>
      </c>
      <c r="F346" t="s">
        <v>27</v>
      </c>
      <c r="G346">
        <v>14</v>
      </c>
      <c r="H346" s="10">
        <v>1600</v>
      </c>
      <c r="I346" s="10">
        <v>22400</v>
      </c>
      <c r="J346">
        <v>0</v>
      </c>
      <c r="K346" s="10">
        <v>0</v>
      </c>
      <c r="L346">
        <v>14</v>
      </c>
      <c r="M346" s="10">
        <v>22400</v>
      </c>
      <c r="N346" t="s">
        <v>33</v>
      </c>
    </row>
    <row r="347" spans="1:14" x14ac:dyDescent="0.35">
      <c r="A347" t="s">
        <v>501</v>
      </c>
      <c r="B347" s="9">
        <v>45548</v>
      </c>
      <c r="C347" t="s">
        <v>44</v>
      </c>
      <c r="D347" t="s">
        <v>54</v>
      </c>
      <c r="E347" t="s">
        <v>20</v>
      </c>
      <c r="F347" t="s">
        <v>97</v>
      </c>
      <c r="G347">
        <v>126</v>
      </c>
      <c r="H347" s="10">
        <v>500</v>
      </c>
      <c r="I347" s="10">
        <v>63000</v>
      </c>
      <c r="J347">
        <v>0</v>
      </c>
      <c r="K347" s="10">
        <v>0</v>
      </c>
      <c r="L347">
        <v>126</v>
      </c>
      <c r="M347" s="10">
        <v>63000</v>
      </c>
      <c r="N347" t="s">
        <v>122</v>
      </c>
    </row>
    <row r="348" spans="1:14" x14ac:dyDescent="0.35">
      <c r="A348" t="s">
        <v>641</v>
      </c>
      <c r="B348" s="9">
        <v>45551</v>
      </c>
      <c r="C348" t="s">
        <v>44</v>
      </c>
      <c r="D348" t="s">
        <v>35</v>
      </c>
      <c r="E348" t="s">
        <v>20</v>
      </c>
      <c r="F348" t="s">
        <v>97</v>
      </c>
      <c r="G348">
        <v>155</v>
      </c>
      <c r="H348" s="10">
        <v>500</v>
      </c>
      <c r="I348" s="10">
        <v>77500</v>
      </c>
      <c r="J348">
        <v>15</v>
      </c>
      <c r="K348" s="10">
        <v>7500</v>
      </c>
      <c r="L348">
        <v>140</v>
      </c>
      <c r="M348" s="10">
        <v>70000</v>
      </c>
      <c r="N348" t="s">
        <v>62</v>
      </c>
    </row>
    <row r="349" spans="1:14" x14ac:dyDescent="0.35">
      <c r="A349" t="s">
        <v>487</v>
      </c>
      <c r="B349" s="9">
        <v>45552</v>
      </c>
      <c r="C349" t="s">
        <v>74</v>
      </c>
      <c r="D349" t="s">
        <v>41</v>
      </c>
      <c r="E349" t="s">
        <v>31</v>
      </c>
      <c r="F349" t="s">
        <v>81</v>
      </c>
      <c r="G349">
        <v>31</v>
      </c>
      <c r="H349" s="10">
        <v>650</v>
      </c>
      <c r="I349" s="10">
        <v>20150</v>
      </c>
      <c r="J349">
        <v>3</v>
      </c>
      <c r="K349" s="10">
        <v>1950</v>
      </c>
      <c r="L349">
        <v>28</v>
      </c>
      <c r="M349" s="10">
        <v>18200</v>
      </c>
      <c r="N349" t="s">
        <v>122</v>
      </c>
    </row>
    <row r="350" spans="1:14" x14ac:dyDescent="0.35">
      <c r="A350" t="s">
        <v>115</v>
      </c>
      <c r="B350" s="9">
        <v>45554</v>
      </c>
      <c r="C350" t="s">
        <v>96</v>
      </c>
      <c r="D350" t="s">
        <v>753</v>
      </c>
      <c r="E350" t="s">
        <v>31</v>
      </c>
      <c r="F350" t="s">
        <v>58</v>
      </c>
      <c r="G350">
        <v>94</v>
      </c>
      <c r="H350" s="10">
        <v>850</v>
      </c>
      <c r="I350" s="10">
        <v>79900</v>
      </c>
      <c r="J350">
        <v>6</v>
      </c>
      <c r="K350" s="10">
        <v>5100</v>
      </c>
      <c r="L350">
        <v>88</v>
      </c>
      <c r="M350" s="10">
        <v>74800</v>
      </c>
      <c r="N350" t="s">
        <v>33</v>
      </c>
    </row>
    <row r="351" spans="1:14" x14ac:dyDescent="0.35">
      <c r="A351" t="s">
        <v>67</v>
      </c>
      <c r="B351" s="9">
        <v>45556</v>
      </c>
      <c r="C351" t="s">
        <v>44</v>
      </c>
      <c r="D351" t="s">
        <v>13</v>
      </c>
      <c r="E351" t="s">
        <v>14</v>
      </c>
      <c r="F351" t="s">
        <v>70</v>
      </c>
      <c r="G351">
        <v>106</v>
      </c>
      <c r="H351" s="10">
        <v>1800</v>
      </c>
      <c r="I351" s="10">
        <v>190800</v>
      </c>
      <c r="J351">
        <v>0</v>
      </c>
      <c r="K351" s="10">
        <v>0</v>
      </c>
      <c r="L351">
        <v>106</v>
      </c>
      <c r="M351" s="10">
        <v>190800</v>
      </c>
      <c r="N351" t="s">
        <v>62</v>
      </c>
    </row>
    <row r="352" spans="1:14" x14ac:dyDescent="0.35">
      <c r="A352" t="s">
        <v>228</v>
      </c>
      <c r="B352" s="9">
        <v>45556</v>
      </c>
      <c r="C352" t="s">
        <v>44</v>
      </c>
      <c r="D352" t="s">
        <v>41</v>
      </c>
      <c r="E352" t="s">
        <v>14</v>
      </c>
      <c r="F352" t="s">
        <v>72</v>
      </c>
      <c r="G352">
        <v>86</v>
      </c>
      <c r="H352" s="10">
        <v>400</v>
      </c>
      <c r="I352" s="10">
        <v>34400</v>
      </c>
      <c r="J352">
        <v>4</v>
      </c>
      <c r="K352" s="10">
        <v>1600</v>
      </c>
      <c r="L352">
        <v>82</v>
      </c>
      <c r="M352" s="10">
        <v>32800</v>
      </c>
      <c r="N352" t="s">
        <v>122</v>
      </c>
    </row>
    <row r="353" spans="1:14" x14ac:dyDescent="0.35">
      <c r="A353" t="s">
        <v>516</v>
      </c>
      <c r="B353" s="9">
        <v>45556</v>
      </c>
      <c r="C353" t="s">
        <v>44</v>
      </c>
      <c r="D353" t="s">
        <v>49</v>
      </c>
      <c r="E353" t="s">
        <v>14</v>
      </c>
      <c r="F353" t="s">
        <v>70</v>
      </c>
      <c r="G353">
        <v>47</v>
      </c>
      <c r="H353" s="10">
        <v>1800</v>
      </c>
      <c r="I353" s="10">
        <v>84600</v>
      </c>
      <c r="J353">
        <v>0</v>
      </c>
      <c r="K353" s="10">
        <v>0</v>
      </c>
      <c r="L353">
        <v>47</v>
      </c>
      <c r="M353" s="10">
        <v>84600</v>
      </c>
      <c r="N353" t="s">
        <v>122</v>
      </c>
    </row>
    <row r="354" spans="1:14" x14ac:dyDescent="0.35">
      <c r="A354" t="s">
        <v>232</v>
      </c>
      <c r="B354" s="9">
        <v>45558</v>
      </c>
      <c r="C354" t="s">
        <v>51</v>
      </c>
      <c r="D354" t="s">
        <v>13</v>
      </c>
      <c r="E354" t="s">
        <v>14</v>
      </c>
      <c r="F354" t="s">
        <v>70</v>
      </c>
      <c r="G354">
        <v>22</v>
      </c>
      <c r="H354" s="10">
        <v>1800</v>
      </c>
      <c r="I354" s="10">
        <v>39600</v>
      </c>
      <c r="J354">
        <v>0</v>
      </c>
      <c r="K354" s="10">
        <v>0</v>
      </c>
      <c r="L354">
        <v>22</v>
      </c>
      <c r="M354" s="10">
        <v>39600</v>
      </c>
      <c r="N354" t="s">
        <v>62</v>
      </c>
    </row>
    <row r="355" spans="1:14" x14ac:dyDescent="0.35">
      <c r="A355" t="s">
        <v>236</v>
      </c>
      <c r="B355" s="9">
        <v>45558</v>
      </c>
      <c r="C355" t="s">
        <v>96</v>
      </c>
      <c r="D355" t="s">
        <v>19</v>
      </c>
      <c r="E355" t="s">
        <v>20</v>
      </c>
      <c r="F355" t="s">
        <v>52</v>
      </c>
      <c r="G355">
        <v>146</v>
      </c>
      <c r="H355" s="10">
        <v>450</v>
      </c>
      <c r="I355" s="10">
        <v>65700</v>
      </c>
      <c r="J355">
        <v>13</v>
      </c>
      <c r="K355" s="10">
        <v>5850</v>
      </c>
      <c r="L355">
        <v>133</v>
      </c>
      <c r="M355" s="10">
        <v>59850</v>
      </c>
      <c r="N355" t="s">
        <v>62</v>
      </c>
    </row>
    <row r="356" spans="1:14" x14ac:dyDescent="0.35">
      <c r="A356" t="s">
        <v>390</v>
      </c>
      <c r="B356" s="9">
        <v>45558</v>
      </c>
      <c r="C356" t="s">
        <v>74</v>
      </c>
      <c r="D356" t="s">
        <v>41</v>
      </c>
      <c r="E356" t="s">
        <v>14</v>
      </c>
      <c r="F356" t="s">
        <v>27</v>
      </c>
      <c r="G356">
        <v>135</v>
      </c>
      <c r="H356" s="10">
        <v>1600</v>
      </c>
      <c r="I356" s="10">
        <v>216000</v>
      </c>
      <c r="J356">
        <v>9</v>
      </c>
      <c r="K356" s="10">
        <v>14400</v>
      </c>
      <c r="L356">
        <v>126</v>
      </c>
      <c r="M356" s="10">
        <v>201600</v>
      </c>
      <c r="N356" t="s">
        <v>33</v>
      </c>
    </row>
    <row r="357" spans="1:14" x14ac:dyDescent="0.35">
      <c r="A357" t="s">
        <v>38</v>
      </c>
      <c r="B357" s="9">
        <v>45559</v>
      </c>
      <c r="C357" t="s">
        <v>18</v>
      </c>
      <c r="D357" t="s">
        <v>41</v>
      </c>
      <c r="E357" t="s">
        <v>20</v>
      </c>
      <c r="F357" t="s">
        <v>36</v>
      </c>
      <c r="G357">
        <v>124</v>
      </c>
      <c r="H357" s="10">
        <v>900</v>
      </c>
      <c r="I357" s="10">
        <v>111600</v>
      </c>
      <c r="J357">
        <v>1</v>
      </c>
      <c r="K357" s="10">
        <v>900</v>
      </c>
      <c r="L357">
        <v>123</v>
      </c>
      <c r="M357" s="10">
        <v>110700</v>
      </c>
      <c r="N357" t="s">
        <v>62</v>
      </c>
    </row>
    <row r="358" spans="1:14" x14ac:dyDescent="0.35">
      <c r="A358" t="s">
        <v>292</v>
      </c>
      <c r="B358" s="9">
        <v>45560</v>
      </c>
      <c r="C358" t="s">
        <v>44</v>
      </c>
      <c r="D358" t="s">
        <v>13</v>
      </c>
      <c r="E358" t="s">
        <v>14</v>
      </c>
      <c r="F358" t="s">
        <v>61</v>
      </c>
      <c r="G358">
        <v>97</v>
      </c>
      <c r="H358" s="10">
        <v>0</v>
      </c>
      <c r="I358" s="10">
        <v>0</v>
      </c>
      <c r="J358">
        <v>0</v>
      </c>
      <c r="K358" s="10">
        <v>0</v>
      </c>
      <c r="L358">
        <v>97</v>
      </c>
      <c r="M358" s="10">
        <v>0</v>
      </c>
      <c r="N358" t="s">
        <v>33</v>
      </c>
    </row>
    <row r="359" spans="1:14" x14ac:dyDescent="0.35">
      <c r="A359" t="s">
        <v>500</v>
      </c>
      <c r="B359" s="9">
        <v>45562</v>
      </c>
      <c r="C359" t="s">
        <v>74</v>
      </c>
      <c r="D359" t="s">
        <v>13</v>
      </c>
      <c r="E359" t="s">
        <v>20</v>
      </c>
      <c r="F359" t="s">
        <v>133</v>
      </c>
      <c r="G359">
        <v>69</v>
      </c>
      <c r="H359" s="10">
        <v>1200</v>
      </c>
      <c r="I359" s="10">
        <v>82800</v>
      </c>
      <c r="J359">
        <v>5</v>
      </c>
      <c r="K359" s="10">
        <v>6000</v>
      </c>
      <c r="L359">
        <v>64</v>
      </c>
      <c r="M359" s="10">
        <v>76800</v>
      </c>
      <c r="N359" t="s">
        <v>122</v>
      </c>
    </row>
    <row r="360" spans="1:14" x14ac:dyDescent="0.35">
      <c r="A360" t="s">
        <v>699</v>
      </c>
      <c r="B360" s="9">
        <v>45562</v>
      </c>
      <c r="C360" t="s">
        <v>44</v>
      </c>
      <c r="D360" t="s">
        <v>49</v>
      </c>
      <c r="E360" t="s">
        <v>14</v>
      </c>
      <c r="F360" t="s">
        <v>61</v>
      </c>
      <c r="G360">
        <v>104</v>
      </c>
      <c r="H360" s="10">
        <v>2200</v>
      </c>
      <c r="I360" s="10">
        <v>228800</v>
      </c>
      <c r="J360">
        <v>7</v>
      </c>
      <c r="K360" s="10">
        <v>15400</v>
      </c>
      <c r="L360">
        <v>97</v>
      </c>
      <c r="M360" s="10">
        <v>213400</v>
      </c>
      <c r="N360" t="s">
        <v>33</v>
      </c>
    </row>
    <row r="361" spans="1:14" x14ac:dyDescent="0.35">
      <c r="A361" t="s">
        <v>126</v>
      </c>
      <c r="B361" s="9">
        <v>45564</v>
      </c>
      <c r="C361" t="s">
        <v>96</v>
      </c>
      <c r="D361" t="s">
        <v>65</v>
      </c>
      <c r="E361" t="s">
        <v>20</v>
      </c>
      <c r="F361" t="s">
        <v>52</v>
      </c>
      <c r="G361">
        <v>92</v>
      </c>
      <c r="H361" s="10">
        <v>450</v>
      </c>
      <c r="I361" s="10">
        <v>41400</v>
      </c>
      <c r="J361">
        <v>6</v>
      </c>
      <c r="K361" s="10">
        <v>2700</v>
      </c>
      <c r="L361">
        <v>86</v>
      </c>
      <c r="M361" s="10">
        <v>38700</v>
      </c>
      <c r="N361" t="s">
        <v>62</v>
      </c>
    </row>
    <row r="362" spans="1:14" x14ac:dyDescent="0.35">
      <c r="A362" t="s">
        <v>316</v>
      </c>
      <c r="B362" s="9">
        <v>45564</v>
      </c>
      <c r="C362" t="s">
        <v>25</v>
      </c>
      <c r="D362" t="s">
        <v>93</v>
      </c>
      <c r="E362" t="s">
        <v>20</v>
      </c>
      <c r="F362" t="s">
        <v>97</v>
      </c>
      <c r="G362">
        <v>23</v>
      </c>
      <c r="H362" s="10">
        <v>500</v>
      </c>
      <c r="I362" s="10">
        <v>11500</v>
      </c>
      <c r="J362">
        <v>0</v>
      </c>
      <c r="K362" s="10">
        <v>0</v>
      </c>
      <c r="L362">
        <v>23</v>
      </c>
      <c r="M362" s="10">
        <v>11500</v>
      </c>
      <c r="N362" t="s">
        <v>62</v>
      </c>
    </row>
    <row r="363" spans="1:14" x14ac:dyDescent="0.35">
      <c r="A363" t="s">
        <v>208</v>
      </c>
      <c r="B363" s="9">
        <v>45565</v>
      </c>
      <c r="C363" t="s">
        <v>96</v>
      </c>
      <c r="D363" t="s">
        <v>26</v>
      </c>
      <c r="E363" t="s">
        <v>20</v>
      </c>
      <c r="F363" t="s">
        <v>755</v>
      </c>
      <c r="G363">
        <v>11</v>
      </c>
      <c r="H363" s="10">
        <v>3500</v>
      </c>
      <c r="I363" s="10">
        <v>38500</v>
      </c>
      <c r="J363">
        <v>1</v>
      </c>
      <c r="K363" s="10">
        <v>3500</v>
      </c>
      <c r="L363">
        <v>10</v>
      </c>
      <c r="M363" s="10">
        <v>35000</v>
      </c>
      <c r="N363" t="s">
        <v>62</v>
      </c>
    </row>
    <row r="364" spans="1:14" x14ac:dyDescent="0.35">
      <c r="A364" t="s">
        <v>544</v>
      </c>
      <c r="B364" s="9">
        <v>45565</v>
      </c>
      <c r="C364" t="s">
        <v>74</v>
      </c>
      <c r="D364" t="s">
        <v>79</v>
      </c>
      <c r="E364" t="s">
        <v>14</v>
      </c>
      <c r="F364" t="s">
        <v>99</v>
      </c>
      <c r="G364">
        <v>168</v>
      </c>
      <c r="H364" s="10">
        <v>1500</v>
      </c>
      <c r="I364" s="10">
        <v>252000</v>
      </c>
      <c r="J364">
        <v>1</v>
      </c>
      <c r="K364" s="10">
        <v>1500</v>
      </c>
      <c r="L364">
        <v>167</v>
      </c>
      <c r="M364" s="10">
        <v>250500</v>
      </c>
      <c r="N364" t="s">
        <v>62</v>
      </c>
    </row>
    <row r="365" spans="1:14" x14ac:dyDescent="0.35">
      <c r="A365" t="s">
        <v>197</v>
      </c>
      <c r="B365" s="9">
        <v>45566</v>
      </c>
      <c r="C365" t="s">
        <v>74</v>
      </c>
      <c r="D365" t="s">
        <v>26</v>
      </c>
      <c r="E365" t="s">
        <v>14</v>
      </c>
      <c r="F365" t="s">
        <v>70</v>
      </c>
      <c r="G365">
        <v>177</v>
      </c>
      <c r="H365" s="10">
        <v>1800</v>
      </c>
      <c r="I365" s="10">
        <v>318600</v>
      </c>
      <c r="J365">
        <v>17</v>
      </c>
      <c r="K365" s="10">
        <v>30600</v>
      </c>
      <c r="L365">
        <v>160</v>
      </c>
      <c r="M365" s="10">
        <v>288000</v>
      </c>
      <c r="N365" t="s">
        <v>62</v>
      </c>
    </row>
    <row r="366" spans="1:14" x14ac:dyDescent="0.35">
      <c r="A366" t="s">
        <v>549</v>
      </c>
      <c r="B366" s="9">
        <v>45566</v>
      </c>
      <c r="C366" t="s">
        <v>25</v>
      </c>
      <c r="D366" t="s">
        <v>54</v>
      </c>
      <c r="E366" t="s">
        <v>20</v>
      </c>
      <c r="F366" t="s">
        <v>36</v>
      </c>
      <c r="G366">
        <v>59</v>
      </c>
      <c r="H366" s="10">
        <v>900</v>
      </c>
      <c r="I366" s="10">
        <v>53100</v>
      </c>
      <c r="J366">
        <v>0</v>
      </c>
      <c r="K366" s="10">
        <v>0</v>
      </c>
      <c r="L366">
        <v>59</v>
      </c>
      <c r="M366" s="10">
        <v>53100</v>
      </c>
      <c r="N366" t="s">
        <v>122</v>
      </c>
    </row>
    <row r="367" spans="1:14" x14ac:dyDescent="0.35">
      <c r="A367" t="s">
        <v>657</v>
      </c>
      <c r="B367" s="9">
        <v>45567</v>
      </c>
      <c r="C367" t="s">
        <v>96</v>
      </c>
      <c r="D367" t="s">
        <v>41</v>
      </c>
      <c r="E367" t="s">
        <v>20</v>
      </c>
      <c r="F367" t="s">
        <v>133</v>
      </c>
      <c r="G367">
        <v>132</v>
      </c>
      <c r="H367" s="10">
        <v>1200</v>
      </c>
      <c r="I367" s="10">
        <v>158400</v>
      </c>
      <c r="J367">
        <v>0</v>
      </c>
      <c r="K367" s="10">
        <v>0</v>
      </c>
      <c r="L367">
        <v>132</v>
      </c>
      <c r="M367" s="10">
        <v>158400</v>
      </c>
      <c r="N367" t="s">
        <v>62</v>
      </c>
    </row>
    <row r="368" spans="1:14" x14ac:dyDescent="0.35">
      <c r="A368" t="s">
        <v>665</v>
      </c>
      <c r="B368" s="9">
        <v>45568</v>
      </c>
      <c r="C368" t="s">
        <v>51</v>
      </c>
      <c r="D368" t="s">
        <v>13</v>
      </c>
      <c r="E368" t="s">
        <v>14</v>
      </c>
      <c r="F368" t="s">
        <v>99</v>
      </c>
      <c r="G368">
        <v>50</v>
      </c>
      <c r="H368" s="10">
        <v>1500</v>
      </c>
      <c r="I368" s="10">
        <v>75000</v>
      </c>
      <c r="J368">
        <v>3</v>
      </c>
      <c r="K368" s="10">
        <v>4500</v>
      </c>
      <c r="L368">
        <v>47</v>
      </c>
      <c r="M368" s="10">
        <v>70500</v>
      </c>
      <c r="N368" t="s">
        <v>122</v>
      </c>
    </row>
    <row r="369" spans="1:14" x14ac:dyDescent="0.35">
      <c r="A369" t="s">
        <v>393</v>
      </c>
      <c r="B369" s="9">
        <v>45570</v>
      </c>
      <c r="C369" t="s">
        <v>51</v>
      </c>
      <c r="D369" t="s">
        <v>79</v>
      </c>
      <c r="E369" t="s">
        <v>753</v>
      </c>
      <c r="F369" t="s">
        <v>133</v>
      </c>
      <c r="G369">
        <v>98</v>
      </c>
      <c r="H369" s="10">
        <v>1200</v>
      </c>
      <c r="I369" s="10">
        <v>117600</v>
      </c>
      <c r="J369">
        <v>2</v>
      </c>
      <c r="K369" s="10">
        <v>2400</v>
      </c>
      <c r="L369">
        <v>96</v>
      </c>
      <c r="M369" s="10">
        <v>115200</v>
      </c>
      <c r="N369" t="s">
        <v>122</v>
      </c>
    </row>
    <row r="370" spans="1:14" x14ac:dyDescent="0.35">
      <c r="A370" t="s">
        <v>610</v>
      </c>
      <c r="B370" s="9">
        <v>45570</v>
      </c>
      <c r="C370" t="s">
        <v>96</v>
      </c>
      <c r="D370" t="s">
        <v>65</v>
      </c>
      <c r="E370" t="s">
        <v>31</v>
      </c>
      <c r="F370" t="s">
        <v>32</v>
      </c>
      <c r="G370">
        <v>46</v>
      </c>
      <c r="H370" s="10">
        <v>1400</v>
      </c>
      <c r="I370" s="10">
        <v>64400</v>
      </c>
      <c r="J370">
        <v>1</v>
      </c>
      <c r="K370" s="10">
        <v>1400</v>
      </c>
      <c r="L370">
        <v>45</v>
      </c>
      <c r="M370" s="10">
        <v>63000</v>
      </c>
      <c r="N370" t="s">
        <v>33</v>
      </c>
    </row>
    <row r="371" spans="1:14" x14ac:dyDescent="0.35">
      <c r="A371" t="s">
        <v>627</v>
      </c>
      <c r="B371" s="9">
        <v>45570</v>
      </c>
      <c r="C371" t="s">
        <v>74</v>
      </c>
      <c r="D371" t="s">
        <v>41</v>
      </c>
      <c r="E371" t="s">
        <v>31</v>
      </c>
      <c r="F371" t="s">
        <v>159</v>
      </c>
      <c r="G371">
        <v>113</v>
      </c>
      <c r="H371" s="10">
        <v>1800</v>
      </c>
      <c r="I371" s="10">
        <v>203400</v>
      </c>
      <c r="J371">
        <v>1</v>
      </c>
      <c r="K371" s="10">
        <v>1800</v>
      </c>
      <c r="L371">
        <v>112</v>
      </c>
      <c r="M371" s="10">
        <v>201600</v>
      </c>
      <c r="N371" t="s">
        <v>122</v>
      </c>
    </row>
    <row r="372" spans="1:14" x14ac:dyDescent="0.35">
      <c r="A372" t="s">
        <v>602</v>
      </c>
      <c r="B372" s="9">
        <v>45571</v>
      </c>
      <c r="C372" t="s">
        <v>18</v>
      </c>
      <c r="D372" t="s">
        <v>79</v>
      </c>
      <c r="E372" t="s">
        <v>31</v>
      </c>
      <c r="F372" t="s">
        <v>55</v>
      </c>
      <c r="G372">
        <v>116</v>
      </c>
      <c r="H372" s="10">
        <v>1100</v>
      </c>
      <c r="I372" s="10">
        <v>127600</v>
      </c>
      <c r="J372">
        <v>11</v>
      </c>
      <c r="K372" s="10">
        <v>12100</v>
      </c>
      <c r="L372">
        <v>105</v>
      </c>
      <c r="M372" s="10">
        <v>115500</v>
      </c>
      <c r="N372" t="s">
        <v>33</v>
      </c>
    </row>
    <row r="373" spans="1:14" x14ac:dyDescent="0.35">
      <c r="A373" t="s">
        <v>162</v>
      </c>
      <c r="B373" s="9">
        <v>45572</v>
      </c>
      <c r="C373" t="s">
        <v>25</v>
      </c>
      <c r="D373" t="s">
        <v>79</v>
      </c>
      <c r="E373" t="s">
        <v>14</v>
      </c>
      <c r="F373" t="s">
        <v>27</v>
      </c>
      <c r="G373">
        <v>80</v>
      </c>
      <c r="H373" s="10">
        <v>1600</v>
      </c>
      <c r="I373" s="10">
        <v>128000</v>
      </c>
      <c r="J373">
        <v>2</v>
      </c>
      <c r="K373" s="10">
        <v>3200</v>
      </c>
      <c r="L373">
        <v>78</v>
      </c>
      <c r="M373" s="10">
        <v>124800</v>
      </c>
      <c r="N373" t="s">
        <v>122</v>
      </c>
    </row>
    <row r="374" spans="1:14" x14ac:dyDescent="0.35">
      <c r="A374" t="s">
        <v>206</v>
      </c>
      <c r="B374" s="9">
        <v>45572</v>
      </c>
      <c r="C374" t="s">
        <v>96</v>
      </c>
      <c r="D374" t="s">
        <v>41</v>
      </c>
      <c r="E374" t="s">
        <v>20</v>
      </c>
      <c r="F374" t="s">
        <v>97</v>
      </c>
      <c r="G374">
        <v>121</v>
      </c>
      <c r="H374" s="10">
        <v>500</v>
      </c>
      <c r="I374" s="10">
        <v>60500</v>
      </c>
      <c r="J374">
        <v>0</v>
      </c>
      <c r="K374" s="10">
        <v>0</v>
      </c>
      <c r="L374">
        <v>121</v>
      </c>
      <c r="M374" s="10">
        <v>60500</v>
      </c>
      <c r="N374" t="s">
        <v>122</v>
      </c>
    </row>
    <row r="375" spans="1:14" x14ac:dyDescent="0.35">
      <c r="A375" t="s">
        <v>698</v>
      </c>
      <c r="B375" s="9">
        <v>45572</v>
      </c>
      <c r="C375" t="s">
        <v>51</v>
      </c>
      <c r="D375" t="s">
        <v>41</v>
      </c>
      <c r="E375" t="s">
        <v>14</v>
      </c>
      <c r="F375" t="s">
        <v>99</v>
      </c>
      <c r="G375">
        <v>180</v>
      </c>
      <c r="H375" s="10">
        <v>1500</v>
      </c>
      <c r="I375" s="10">
        <v>270000</v>
      </c>
      <c r="J375">
        <v>8</v>
      </c>
      <c r="K375" s="10">
        <v>12000</v>
      </c>
      <c r="L375">
        <v>172</v>
      </c>
      <c r="M375" s="10">
        <v>258000</v>
      </c>
      <c r="N375" t="s">
        <v>62</v>
      </c>
    </row>
    <row r="376" spans="1:14" x14ac:dyDescent="0.35">
      <c r="A376" t="s">
        <v>110</v>
      </c>
      <c r="B376" s="9">
        <v>45573</v>
      </c>
      <c r="C376" t="s">
        <v>51</v>
      </c>
      <c r="D376" t="s">
        <v>41</v>
      </c>
      <c r="E376" t="s">
        <v>31</v>
      </c>
      <c r="F376" t="s">
        <v>55</v>
      </c>
      <c r="G376">
        <v>175</v>
      </c>
      <c r="H376" s="10">
        <v>1100</v>
      </c>
      <c r="I376" s="10">
        <v>192500</v>
      </c>
      <c r="J376">
        <v>0</v>
      </c>
      <c r="K376" s="10">
        <v>0</v>
      </c>
      <c r="L376">
        <v>175</v>
      </c>
      <c r="M376" s="10">
        <v>192500</v>
      </c>
      <c r="N376" t="s">
        <v>33</v>
      </c>
    </row>
    <row r="377" spans="1:14" x14ac:dyDescent="0.35">
      <c r="A377" t="s">
        <v>652</v>
      </c>
      <c r="B377" s="9">
        <v>45573</v>
      </c>
      <c r="C377" t="s">
        <v>74</v>
      </c>
      <c r="D377" t="s">
        <v>19</v>
      </c>
      <c r="E377" t="s">
        <v>20</v>
      </c>
      <c r="F377" t="s">
        <v>36</v>
      </c>
      <c r="G377">
        <v>127</v>
      </c>
      <c r="H377" s="10">
        <v>900</v>
      </c>
      <c r="I377" s="10">
        <v>114300</v>
      </c>
      <c r="J377">
        <v>0</v>
      </c>
      <c r="K377" s="10">
        <v>0</v>
      </c>
      <c r="L377">
        <v>127</v>
      </c>
      <c r="M377" s="10">
        <v>114300</v>
      </c>
      <c r="N377" t="s">
        <v>33</v>
      </c>
    </row>
    <row r="378" spans="1:14" x14ac:dyDescent="0.35">
      <c r="A378" t="s">
        <v>135</v>
      </c>
      <c r="B378" s="9">
        <v>45575</v>
      </c>
      <c r="C378" t="s">
        <v>96</v>
      </c>
      <c r="D378" t="s">
        <v>13</v>
      </c>
      <c r="E378" t="s">
        <v>14</v>
      </c>
      <c r="F378" t="s">
        <v>72</v>
      </c>
      <c r="G378">
        <v>104</v>
      </c>
      <c r="H378" s="10">
        <v>400</v>
      </c>
      <c r="I378" s="10">
        <v>41600</v>
      </c>
      <c r="J378">
        <v>0</v>
      </c>
      <c r="K378" s="10">
        <v>0</v>
      </c>
      <c r="L378">
        <v>104</v>
      </c>
      <c r="M378" s="10">
        <v>41600</v>
      </c>
      <c r="N378" t="s">
        <v>122</v>
      </c>
    </row>
    <row r="379" spans="1:14" x14ac:dyDescent="0.35">
      <c r="A379" t="s">
        <v>151</v>
      </c>
      <c r="B379" s="9">
        <v>45575</v>
      </c>
      <c r="C379" t="s">
        <v>44</v>
      </c>
      <c r="D379" t="s">
        <v>65</v>
      </c>
      <c r="E379" t="s">
        <v>20</v>
      </c>
      <c r="F379" t="s">
        <v>153</v>
      </c>
      <c r="G379">
        <v>197</v>
      </c>
      <c r="H379" s="10">
        <v>2800</v>
      </c>
      <c r="I379" s="10">
        <v>551600</v>
      </c>
      <c r="J379">
        <v>14</v>
      </c>
      <c r="K379" s="10">
        <v>39200</v>
      </c>
      <c r="L379">
        <v>183</v>
      </c>
      <c r="M379" s="10">
        <v>512400</v>
      </c>
      <c r="N379" t="s">
        <v>33</v>
      </c>
    </row>
    <row r="380" spans="1:14" x14ac:dyDescent="0.35">
      <c r="A380" t="s">
        <v>196</v>
      </c>
      <c r="B380" s="9">
        <v>45575</v>
      </c>
      <c r="C380" t="s">
        <v>18</v>
      </c>
      <c r="D380" t="s">
        <v>41</v>
      </c>
      <c r="E380" t="s">
        <v>753</v>
      </c>
      <c r="F380" t="s">
        <v>121</v>
      </c>
      <c r="G380">
        <v>57</v>
      </c>
      <c r="H380" s="10">
        <v>200</v>
      </c>
      <c r="I380" s="10">
        <v>11400</v>
      </c>
      <c r="J380">
        <v>0</v>
      </c>
      <c r="K380" s="10">
        <v>0</v>
      </c>
      <c r="L380">
        <v>57</v>
      </c>
      <c r="M380" s="10">
        <v>11400</v>
      </c>
      <c r="N380" t="s">
        <v>33</v>
      </c>
    </row>
    <row r="381" spans="1:14" x14ac:dyDescent="0.35">
      <c r="A381" t="s">
        <v>199</v>
      </c>
      <c r="B381" s="9">
        <v>45575</v>
      </c>
      <c r="C381" t="s">
        <v>18</v>
      </c>
      <c r="D381" t="s">
        <v>753</v>
      </c>
      <c r="E381" t="s">
        <v>31</v>
      </c>
      <c r="F381" t="s">
        <v>81</v>
      </c>
      <c r="G381">
        <v>30</v>
      </c>
      <c r="H381" s="10">
        <v>650</v>
      </c>
      <c r="I381" s="10">
        <v>19500</v>
      </c>
      <c r="J381">
        <v>0</v>
      </c>
      <c r="K381" s="10">
        <v>0</v>
      </c>
      <c r="L381">
        <v>30</v>
      </c>
      <c r="M381" s="10">
        <v>19500</v>
      </c>
      <c r="N381" t="s">
        <v>122</v>
      </c>
    </row>
    <row r="382" spans="1:14" x14ac:dyDescent="0.35">
      <c r="A382" t="s">
        <v>391</v>
      </c>
      <c r="B382" s="9">
        <v>45575</v>
      </c>
      <c r="C382" t="s">
        <v>96</v>
      </c>
      <c r="D382" t="s">
        <v>19</v>
      </c>
      <c r="E382" t="s">
        <v>20</v>
      </c>
      <c r="F382" t="s">
        <v>52</v>
      </c>
      <c r="G382">
        <v>49</v>
      </c>
      <c r="H382" s="10">
        <v>450</v>
      </c>
      <c r="I382" s="10">
        <v>22050</v>
      </c>
      <c r="J382">
        <v>0</v>
      </c>
      <c r="K382" s="10">
        <v>0</v>
      </c>
      <c r="L382">
        <v>49</v>
      </c>
      <c r="M382" s="10">
        <v>22050</v>
      </c>
      <c r="N382" t="s">
        <v>62</v>
      </c>
    </row>
    <row r="383" spans="1:14" x14ac:dyDescent="0.35">
      <c r="A383" t="s">
        <v>513</v>
      </c>
      <c r="B383" s="9">
        <v>45576</v>
      </c>
      <c r="C383" t="s">
        <v>18</v>
      </c>
      <c r="D383" t="s">
        <v>54</v>
      </c>
      <c r="E383" t="s">
        <v>14</v>
      </c>
      <c r="F383" t="s">
        <v>70</v>
      </c>
      <c r="G383">
        <v>173</v>
      </c>
      <c r="H383" s="10">
        <v>1800</v>
      </c>
      <c r="I383" s="10">
        <v>311400</v>
      </c>
      <c r="J383">
        <v>7</v>
      </c>
      <c r="K383" s="10">
        <v>12600</v>
      </c>
      <c r="L383">
        <v>166</v>
      </c>
      <c r="M383" s="10">
        <v>298800</v>
      </c>
      <c r="N383" t="s">
        <v>122</v>
      </c>
    </row>
    <row r="384" spans="1:14" x14ac:dyDescent="0.35">
      <c r="A384" t="s">
        <v>174</v>
      </c>
      <c r="B384" s="9">
        <v>45577</v>
      </c>
      <c r="C384" t="s">
        <v>51</v>
      </c>
      <c r="D384" t="s">
        <v>41</v>
      </c>
      <c r="E384" t="s">
        <v>20</v>
      </c>
      <c r="F384" t="s">
        <v>133</v>
      </c>
      <c r="G384">
        <v>121</v>
      </c>
      <c r="H384" s="10">
        <v>1200</v>
      </c>
      <c r="I384" s="10">
        <v>145200</v>
      </c>
      <c r="J384">
        <v>6</v>
      </c>
      <c r="K384" s="10">
        <v>7200</v>
      </c>
      <c r="L384">
        <v>115</v>
      </c>
      <c r="M384" s="10">
        <v>138000</v>
      </c>
      <c r="N384" t="s">
        <v>33</v>
      </c>
    </row>
    <row r="385" spans="1:14" x14ac:dyDescent="0.35">
      <c r="A385" t="s">
        <v>279</v>
      </c>
      <c r="B385" s="9">
        <v>45577</v>
      </c>
      <c r="C385" t="s">
        <v>74</v>
      </c>
      <c r="D385" t="s">
        <v>19</v>
      </c>
      <c r="E385" t="s">
        <v>20</v>
      </c>
      <c r="F385" t="s">
        <v>36</v>
      </c>
      <c r="G385">
        <v>17</v>
      </c>
      <c r="H385" s="10">
        <v>900</v>
      </c>
      <c r="I385" s="10">
        <v>15300</v>
      </c>
      <c r="J385">
        <v>1</v>
      </c>
      <c r="K385" s="10">
        <v>900</v>
      </c>
      <c r="L385">
        <v>16</v>
      </c>
      <c r="M385" s="10">
        <v>14400</v>
      </c>
      <c r="N385" t="s">
        <v>122</v>
      </c>
    </row>
    <row r="386" spans="1:14" x14ac:dyDescent="0.35">
      <c r="A386" t="s">
        <v>639</v>
      </c>
      <c r="B386" s="9">
        <v>45578</v>
      </c>
      <c r="C386" t="s">
        <v>74</v>
      </c>
      <c r="D386" t="s">
        <v>49</v>
      </c>
      <c r="E386" t="s">
        <v>20</v>
      </c>
      <c r="F386" t="s">
        <v>755</v>
      </c>
      <c r="G386">
        <v>61</v>
      </c>
      <c r="H386" s="10">
        <v>3500</v>
      </c>
      <c r="I386" s="10">
        <v>213500</v>
      </c>
      <c r="J386">
        <v>2</v>
      </c>
      <c r="K386" s="10">
        <v>7000</v>
      </c>
      <c r="L386">
        <v>59</v>
      </c>
      <c r="M386" s="10">
        <v>206500</v>
      </c>
      <c r="N386" t="s">
        <v>62</v>
      </c>
    </row>
    <row r="387" spans="1:14" x14ac:dyDescent="0.35">
      <c r="A387" t="s">
        <v>473</v>
      </c>
      <c r="B387" s="9">
        <v>45579</v>
      </c>
      <c r="C387" t="s">
        <v>25</v>
      </c>
      <c r="D387" t="s">
        <v>19</v>
      </c>
      <c r="E387" t="s">
        <v>20</v>
      </c>
      <c r="F387" t="s">
        <v>36</v>
      </c>
      <c r="G387">
        <v>111</v>
      </c>
      <c r="H387" s="10">
        <v>900</v>
      </c>
      <c r="I387" s="10">
        <v>99900</v>
      </c>
      <c r="J387">
        <v>3</v>
      </c>
      <c r="K387" s="10">
        <v>2700</v>
      </c>
      <c r="L387">
        <v>108</v>
      </c>
      <c r="M387" s="10">
        <v>97200</v>
      </c>
      <c r="N387" t="s">
        <v>62</v>
      </c>
    </row>
    <row r="388" spans="1:14" x14ac:dyDescent="0.35">
      <c r="A388" t="s">
        <v>485</v>
      </c>
      <c r="B388" s="9">
        <v>45579</v>
      </c>
      <c r="C388" t="s">
        <v>44</v>
      </c>
      <c r="D388" t="s">
        <v>54</v>
      </c>
      <c r="E388" t="s">
        <v>20</v>
      </c>
      <c r="F388" t="s">
        <v>755</v>
      </c>
      <c r="G388">
        <v>57</v>
      </c>
      <c r="H388" s="10">
        <v>3500</v>
      </c>
      <c r="I388" s="10">
        <v>199500</v>
      </c>
      <c r="J388">
        <v>4</v>
      </c>
      <c r="K388" s="10">
        <v>14000</v>
      </c>
      <c r="L388">
        <v>53</v>
      </c>
      <c r="M388" s="10">
        <v>185500</v>
      </c>
      <c r="N388" t="s">
        <v>122</v>
      </c>
    </row>
    <row r="389" spans="1:14" x14ac:dyDescent="0.35">
      <c r="A389" t="s">
        <v>430</v>
      </c>
      <c r="B389" s="9">
        <v>45580</v>
      </c>
      <c r="C389" t="s">
        <v>18</v>
      </c>
      <c r="D389" t="s">
        <v>65</v>
      </c>
      <c r="E389" t="s">
        <v>31</v>
      </c>
      <c r="F389" t="s">
        <v>58</v>
      </c>
      <c r="G389">
        <v>160</v>
      </c>
      <c r="H389" s="10">
        <v>850</v>
      </c>
      <c r="I389" s="10">
        <v>136000</v>
      </c>
      <c r="J389">
        <v>4</v>
      </c>
      <c r="K389" s="10">
        <v>3400</v>
      </c>
      <c r="L389">
        <v>156</v>
      </c>
      <c r="M389" s="10">
        <v>132600</v>
      </c>
      <c r="N389" t="s">
        <v>122</v>
      </c>
    </row>
    <row r="390" spans="1:14" x14ac:dyDescent="0.35">
      <c r="A390" t="s">
        <v>642</v>
      </c>
      <c r="B390" s="9">
        <v>45580</v>
      </c>
      <c r="C390" t="s">
        <v>44</v>
      </c>
      <c r="D390" t="s">
        <v>13</v>
      </c>
      <c r="E390" t="s">
        <v>31</v>
      </c>
      <c r="F390" t="s">
        <v>89</v>
      </c>
      <c r="G390">
        <v>160</v>
      </c>
      <c r="H390" s="10">
        <v>900</v>
      </c>
      <c r="I390" s="10">
        <v>144000</v>
      </c>
      <c r="J390">
        <v>14</v>
      </c>
      <c r="K390" s="10">
        <v>12600</v>
      </c>
      <c r="L390">
        <v>146</v>
      </c>
      <c r="M390" s="10">
        <v>131400</v>
      </c>
      <c r="N390" t="s">
        <v>62</v>
      </c>
    </row>
    <row r="391" spans="1:14" x14ac:dyDescent="0.35">
      <c r="A391" t="s">
        <v>714</v>
      </c>
      <c r="B391" s="9">
        <v>45581</v>
      </c>
      <c r="C391" t="s">
        <v>25</v>
      </c>
      <c r="D391" t="s">
        <v>93</v>
      </c>
      <c r="E391" t="s">
        <v>20</v>
      </c>
      <c r="F391" t="s">
        <v>755</v>
      </c>
      <c r="G391">
        <v>151</v>
      </c>
      <c r="H391" s="10">
        <v>3500</v>
      </c>
      <c r="I391" s="10">
        <v>528500</v>
      </c>
      <c r="J391">
        <v>1</v>
      </c>
      <c r="K391" s="10">
        <v>3500</v>
      </c>
      <c r="L391">
        <v>150</v>
      </c>
      <c r="M391" s="10">
        <v>525000</v>
      </c>
      <c r="N391" t="s">
        <v>122</v>
      </c>
    </row>
    <row r="392" spans="1:14" x14ac:dyDescent="0.35">
      <c r="A392" t="s">
        <v>143</v>
      </c>
      <c r="B392" s="9">
        <v>45582</v>
      </c>
      <c r="C392" t="s">
        <v>74</v>
      </c>
      <c r="D392" t="s">
        <v>79</v>
      </c>
      <c r="E392" t="s">
        <v>14</v>
      </c>
      <c r="F392" t="s">
        <v>99</v>
      </c>
      <c r="G392">
        <v>118</v>
      </c>
      <c r="H392" s="10">
        <v>1500</v>
      </c>
      <c r="I392" s="10">
        <v>177000</v>
      </c>
      <c r="J392">
        <v>10</v>
      </c>
      <c r="K392" s="10">
        <v>15000</v>
      </c>
      <c r="L392">
        <v>108</v>
      </c>
      <c r="M392" s="10">
        <v>162000</v>
      </c>
      <c r="N392" t="s">
        <v>62</v>
      </c>
    </row>
    <row r="393" spans="1:14" x14ac:dyDescent="0.35">
      <c r="A393" t="s">
        <v>254</v>
      </c>
      <c r="B393" s="9">
        <v>45582</v>
      </c>
      <c r="C393" t="s">
        <v>18</v>
      </c>
      <c r="D393" t="s">
        <v>13</v>
      </c>
      <c r="E393" t="s">
        <v>20</v>
      </c>
      <c r="F393" t="s">
        <v>36</v>
      </c>
      <c r="G393">
        <v>106</v>
      </c>
      <c r="H393" s="10">
        <v>900</v>
      </c>
      <c r="I393" s="10">
        <v>95400</v>
      </c>
      <c r="J393">
        <v>0</v>
      </c>
      <c r="K393" s="10">
        <v>0</v>
      </c>
      <c r="L393">
        <v>106</v>
      </c>
      <c r="M393" s="10">
        <v>95400</v>
      </c>
      <c r="N393" t="s">
        <v>122</v>
      </c>
    </row>
    <row r="394" spans="1:14" x14ac:dyDescent="0.35">
      <c r="A394" t="s">
        <v>267</v>
      </c>
      <c r="B394" s="9">
        <v>45582</v>
      </c>
      <c r="C394" t="s">
        <v>74</v>
      </c>
      <c r="D394" t="s">
        <v>35</v>
      </c>
      <c r="E394" t="s">
        <v>31</v>
      </c>
      <c r="F394" t="s">
        <v>45</v>
      </c>
      <c r="G394">
        <v>63</v>
      </c>
      <c r="H394" s="10">
        <v>0</v>
      </c>
      <c r="I394" s="10">
        <v>0</v>
      </c>
      <c r="J394">
        <v>0</v>
      </c>
      <c r="K394" s="10">
        <v>0</v>
      </c>
      <c r="L394">
        <v>63</v>
      </c>
      <c r="M394" s="10">
        <v>0</v>
      </c>
      <c r="N394" t="s">
        <v>33</v>
      </c>
    </row>
    <row r="395" spans="1:14" x14ac:dyDescent="0.35">
      <c r="A395" t="s">
        <v>476</v>
      </c>
      <c r="B395" s="9">
        <v>45582</v>
      </c>
      <c r="C395" t="s">
        <v>51</v>
      </c>
      <c r="D395" t="s">
        <v>49</v>
      </c>
      <c r="E395" t="s">
        <v>20</v>
      </c>
      <c r="F395" t="s">
        <v>133</v>
      </c>
      <c r="G395">
        <v>168</v>
      </c>
      <c r="H395" s="10">
        <v>1200</v>
      </c>
      <c r="I395" s="10">
        <v>201600</v>
      </c>
      <c r="J395">
        <v>7</v>
      </c>
      <c r="K395" s="10">
        <v>8400</v>
      </c>
      <c r="L395">
        <v>161</v>
      </c>
      <c r="M395" s="10">
        <v>193200</v>
      </c>
      <c r="N395" t="s">
        <v>62</v>
      </c>
    </row>
    <row r="396" spans="1:14" x14ac:dyDescent="0.35">
      <c r="A396" t="s">
        <v>591</v>
      </c>
      <c r="B396" s="9">
        <v>45582</v>
      </c>
      <c r="C396" t="s">
        <v>44</v>
      </c>
      <c r="D396" t="s">
        <v>54</v>
      </c>
      <c r="E396" t="s">
        <v>753</v>
      </c>
      <c r="F396" t="s">
        <v>32</v>
      </c>
      <c r="G396">
        <v>70</v>
      </c>
      <c r="H396" s="10">
        <v>1400</v>
      </c>
      <c r="I396" s="10">
        <v>98000</v>
      </c>
      <c r="J396">
        <v>5</v>
      </c>
      <c r="K396" s="10">
        <v>7000</v>
      </c>
      <c r="L396">
        <v>65</v>
      </c>
      <c r="M396" s="10">
        <v>91000</v>
      </c>
      <c r="N396" t="s">
        <v>62</v>
      </c>
    </row>
    <row r="397" spans="1:14" x14ac:dyDescent="0.35">
      <c r="A397" t="s">
        <v>299</v>
      </c>
      <c r="B397" s="9">
        <v>45585</v>
      </c>
      <c r="C397" t="s">
        <v>74</v>
      </c>
      <c r="D397" t="s">
        <v>65</v>
      </c>
      <c r="E397" t="s">
        <v>20</v>
      </c>
      <c r="F397" t="s">
        <v>755</v>
      </c>
      <c r="G397">
        <v>190</v>
      </c>
      <c r="H397" s="10">
        <v>3500</v>
      </c>
      <c r="I397" s="10">
        <v>665000</v>
      </c>
      <c r="J397">
        <v>9</v>
      </c>
      <c r="K397" s="10">
        <v>31500</v>
      </c>
      <c r="L397">
        <v>181</v>
      </c>
      <c r="M397" s="10">
        <v>633500</v>
      </c>
      <c r="N397" t="s">
        <v>62</v>
      </c>
    </row>
    <row r="398" spans="1:14" x14ac:dyDescent="0.35">
      <c r="A398" t="s">
        <v>423</v>
      </c>
      <c r="B398" s="9">
        <v>45585</v>
      </c>
      <c r="C398" t="s">
        <v>25</v>
      </c>
      <c r="D398" t="s">
        <v>65</v>
      </c>
      <c r="E398" t="s">
        <v>20</v>
      </c>
      <c r="F398" t="s">
        <v>52</v>
      </c>
      <c r="G398">
        <v>57</v>
      </c>
      <c r="H398" s="10">
        <v>450</v>
      </c>
      <c r="I398" s="10">
        <v>25650</v>
      </c>
      <c r="J398">
        <v>4</v>
      </c>
      <c r="K398" s="10">
        <v>1800</v>
      </c>
      <c r="L398">
        <v>53</v>
      </c>
      <c r="M398" s="10">
        <v>23850</v>
      </c>
      <c r="N398" t="s">
        <v>62</v>
      </c>
    </row>
    <row r="399" spans="1:14" x14ac:dyDescent="0.35">
      <c r="A399" t="s">
        <v>362</v>
      </c>
      <c r="B399" s="9">
        <v>45586</v>
      </c>
      <c r="C399" t="s">
        <v>25</v>
      </c>
      <c r="D399" t="s">
        <v>54</v>
      </c>
      <c r="E399" t="s">
        <v>20</v>
      </c>
      <c r="F399" t="s">
        <v>97</v>
      </c>
      <c r="G399">
        <v>106</v>
      </c>
      <c r="H399" s="10">
        <v>500</v>
      </c>
      <c r="I399" s="10">
        <v>53000</v>
      </c>
      <c r="J399">
        <v>8</v>
      </c>
      <c r="K399" s="10">
        <v>4000</v>
      </c>
      <c r="L399">
        <v>98</v>
      </c>
      <c r="M399" s="10">
        <v>49000</v>
      </c>
      <c r="N399" t="s">
        <v>33</v>
      </c>
    </row>
    <row r="400" spans="1:14" x14ac:dyDescent="0.35">
      <c r="A400" t="s">
        <v>442</v>
      </c>
      <c r="B400" s="9">
        <v>45586</v>
      </c>
      <c r="C400" t="s">
        <v>96</v>
      </c>
      <c r="D400" t="s">
        <v>19</v>
      </c>
      <c r="E400" t="s">
        <v>14</v>
      </c>
      <c r="F400" t="s">
        <v>99</v>
      </c>
      <c r="G400">
        <v>53</v>
      </c>
      <c r="H400" s="10">
        <v>1500</v>
      </c>
      <c r="I400" s="10">
        <v>79500</v>
      </c>
      <c r="J400">
        <v>4</v>
      </c>
      <c r="K400" s="10">
        <v>6000</v>
      </c>
      <c r="L400">
        <v>49</v>
      </c>
      <c r="M400" s="10">
        <v>73500</v>
      </c>
      <c r="N400" t="s">
        <v>122</v>
      </c>
    </row>
    <row r="401" spans="1:14" x14ac:dyDescent="0.35">
      <c r="A401" t="s">
        <v>146</v>
      </c>
      <c r="B401" s="9">
        <v>45587</v>
      </c>
      <c r="C401" t="s">
        <v>74</v>
      </c>
      <c r="D401" t="s">
        <v>41</v>
      </c>
      <c r="E401" t="s">
        <v>14</v>
      </c>
      <c r="F401" t="s">
        <v>15</v>
      </c>
      <c r="G401">
        <v>168</v>
      </c>
      <c r="H401" s="10">
        <v>1200</v>
      </c>
      <c r="I401" s="10">
        <v>201600</v>
      </c>
      <c r="J401">
        <v>9</v>
      </c>
      <c r="K401" s="10">
        <v>10800</v>
      </c>
      <c r="L401">
        <v>159</v>
      </c>
      <c r="M401" s="10">
        <v>190800</v>
      </c>
      <c r="N401" t="s">
        <v>122</v>
      </c>
    </row>
    <row r="402" spans="1:14" x14ac:dyDescent="0.35">
      <c r="A402" t="s">
        <v>298</v>
      </c>
      <c r="B402" s="9">
        <v>45587</v>
      </c>
      <c r="C402" t="s">
        <v>25</v>
      </c>
      <c r="D402" t="s">
        <v>19</v>
      </c>
      <c r="E402" t="s">
        <v>31</v>
      </c>
      <c r="F402" t="s">
        <v>81</v>
      </c>
      <c r="G402">
        <v>51</v>
      </c>
      <c r="H402" s="10">
        <v>650</v>
      </c>
      <c r="I402" s="10">
        <v>33150</v>
      </c>
      <c r="J402">
        <v>4</v>
      </c>
      <c r="K402" s="10">
        <v>2600</v>
      </c>
      <c r="L402">
        <v>47</v>
      </c>
      <c r="M402" s="10">
        <v>30550</v>
      </c>
      <c r="N402" t="s">
        <v>122</v>
      </c>
    </row>
    <row r="403" spans="1:14" x14ac:dyDescent="0.35">
      <c r="A403" t="s">
        <v>645</v>
      </c>
      <c r="B403" s="9">
        <v>45589</v>
      </c>
      <c r="C403" t="s">
        <v>51</v>
      </c>
      <c r="D403" t="s">
        <v>41</v>
      </c>
      <c r="E403" t="s">
        <v>31</v>
      </c>
      <c r="F403" t="s">
        <v>121</v>
      </c>
      <c r="G403">
        <v>81</v>
      </c>
      <c r="H403" s="10">
        <v>200</v>
      </c>
      <c r="I403" s="10">
        <v>16200</v>
      </c>
      <c r="J403">
        <v>6</v>
      </c>
      <c r="K403" s="10">
        <v>1200</v>
      </c>
      <c r="L403">
        <v>75</v>
      </c>
      <c r="M403" s="10">
        <v>15000</v>
      </c>
      <c r="N403" t="s">
        <v>122</v>
      </c>
    </row>
    <row r="404" spans="1:14" x14ac:dyDescent="0.35">
      <c r="A404" t="s">
        <v>507</v>
      </c>
      <c r="B404" s="9">
        <v>45590</v>
      </c>
      <c r="C404" t="s">
        <v>44</v>
      </c>
      <c r="D404" t="s">
        <v>26</v>
      </c>
      <c r="E404" t="s">
        <v>31</v>
      </c>
      <c r="F404" t="s">
        <v>32</v>
      </c>
      <c r="G404">
        <v>170</v>
      </c>
      <c r="H404" s="10">
        <v>1400</v>
      </c>
      <c r="I404" s="10">
        <v>238000</v>
      </c>
      <c r="J404">
        <v>10</v>
      </c>
      <c r="K404" s="10">
        <v>14000</v>
      </c>
      <c r="L404">
        <v>160</v>
      </c>
      <c r="M404" s="10">
        <v>224000</v>
      </c>
      <c r="N404" t="s">
        <v>33</v>
      </c>
    </row>
    <row r="405" spans="1:14" x14ac:dyDescent="0.35">
      <c r="A405" t="s">
        <v>605</v>
      </c>
      <c r="B405" s="9">
        <v>45590</v>
      </c>
      <c r="C405" t="s">
        <v>18</v>
      </c>
      <c r="D405" t="s">
        <v>19</v>
      </c>
      <c r="E405" t="s">
        <v>31</v>
      </c>
      <c r="F405" t="s">
        <v>89</v>
      </c>
      <c r="G405">
        <v>93</v>
      </c>
      <c r="H405" s="10">
        <v>900</v>
      </c>
      <c r="I405" s="10">
        <v>83700</v>
      </c>
      <c r="J405">
        <v>0</v>
      </c>
      <c r="K405" s="10">
        <v>0</v>
      </c>
      <c r="L405">
        <v>93</v>
      </c>
      <c r="M405" s="10">
        <v>83700</v>
      </c>
      <c r="N405" t="s">
        <v>62</v>
      </c>
    </row>
    <row r="406" spans="1:14" x14ac:dyDescent="0.35">
      <c r="A406" t="s">
        <v>479</v>
      </c>
      <c r="B406" s="9">
        <v>45591</v>
      </c>
      <c r="C406" t="s">
        <v>18</v>
      </c>
      <c r="D406" t="s">
        <v>26</v>
      </c>
      <c r="E406" t="s">
        <v>31</v>
      </c>
      <c r="F406" t="s">
        <v>58</v>
      </c>
      <c r="G406">
        <v>181</v>
      </c>
      <c r="H406" s="10">
        <v>850</v>
      </c>
      <c r="I406" s="10">
        <v>153850</v>
      </c>
      <c r="J406">
        <v>0</v>
      </c>
      <c r="K406" s="10">
        <v>0</v>
      </c>
      <c r="L406">
        <v>181</v>
      </c>
      <c r="M406" s="10">
        <v>153850</v>
      </c>
      <c r="N406" t="s">
        <v>33</v>
      </c>
    </row>
    <row r="407" spans="1:14" x14ac:dyDescent="0.35">
      <c r="A407" t="s">
        <v>697</v>
      </c>
      <c r="B407" s="9">
        <v>45591</v>
      </c>
      <c r="C407" t="s">
        <v>96</v>
      </c>
      <c r="D407" t="s">
        <v>79</v>
      </c>
      <c r="E407" t="s">
        <v>20</v>
      </c>
      <c r="F407" t="s">
        <v>36</v>
      </c>
      <c r="G407">
        <v>192</v>
      </c>
      <c r="H407" s="10">
        <v>900</v>
      </c>
      <c r="I407" s="10">
        <v>172800</v>
      </c>
      <c r="J407">
        <v>0</v>
      </c>
      <c r="K407" s="10">
        <v>0</v>
      </c>
      <c r="L407">
        <v>192</v>
      </c>
      <c r="M407" s="10">
        <v>172800</v>
      </c>
      <c r="N407" t="s">
        <v>122</v>
      </c>
    </row>
    <row r="408" spans="1:14" x14ac:dyDescent="0.35">
      <c r="A408" t="s">
        <v>383</v>
      </c>
      <c r="B408" s="9">
        <v>45592</v>
      </c>
      <c r="C408" t="s">
        <v>18</v>
      </c>
      <c r="D408" t="s">
        <v>41</v>
      </c>
      <c r="E408" t="s">
        <v>20</v>
      </c>
      <c r="F408" t="s">
        <v>52</v>
      </c>
      <c r="G408">
        <v>124</v>
      </c>
      <c r="H408" s="10">
        <v>450</v>
      </c>
      <c r="I408" s="10">
        <v>55800</v>
      </c>
      <c r="J408">
        <v>10</v>
      </c>
      <c r="K408" s="10">
        <v>4500</v>
      </c>
      <c r="L408">
        <v>114</v>
      </c>
      <c r="M408" s="10">
        <v>51300</v>
      </c>
      <c r="N408" t="s">
        <v>62</v>
      </c>
    </row>
    <row r="409" spans="1:14" x14ac:dyDescent="0.35">
      <c r="A409" t="s">
        <v>340</v>
      </c>
      <c r="B409" s="9">
        <v>45593</v>
      </c>
      <c r="C409" t="s">
        <v>51</v>
      </c>
      <c r="D409" t="s">
        <v>49</v>
      </c>
      <c r="E409" t="s">
        <v>20</v>
      </c>
      <c r="F409" t="s">
        <v>755</v>
      </c>
      <c r="G409">
        <v>86</v>
      </c>
      <c r="H409" s="10">
        <v>3500</v>
      </c>
      <c r="I409" s="10">
        <v>301000</v>
      </c>
      <c r="J409">
        <v>0</v>
      </c>
      <c r="K409" s="10">
        <v>0</v>
      </c>
      <c r="L409">
        <v>86</v>
      </c>
      <c r="M409" s="10">
        <v>301000</v>
      </c>
      <c r="N409" t="s">
        <v>33</v>
      </c>
    </row>
    <row r="410" spans="1:14" x14ac:dyDescent="0.35">
      <c r="A410" t="s">
        <v>91</v>
      </c>
      <c r="B410" s="9">
        <v>45595</v>
      </c>
      <c r="C410" t="s">
        <v>25</v>
      </c>
      <c r="D410" t="s">
        <v>93</v>
      </c>
      <c r="E410" t="s">
        <v>14</v>
      </c>
      <c r="F410" t="s">
        <v>72</v>
      </c>
      <c r="G410">
        <v>149</v>
      </c>
      <c r="H410" s="10">
        <v>400</v>
      </c>
      <c r="I410" s="10">
        <v>59600</v>
      </c>
      <c r="J410">
        <v>6</v>
      </c>
      <c r="K410" s="10">
        <v>2400</v>
      </c>
      <c r="L410">
        <v>143</v>
      </c>
      <c r="M410" s="10">
        <v>57200</v>
      </c>
      <c r="N410" t="s">
        <v>122</v>
      </c>
    </row>
    <row r="411" spans="1:14" x14ac:dyDescent="0.35">
      <c r="A411" t="s">
        <v>596</v>
      </c>
      <c r="B411" s="9">
        <v>45595</v>
      </c>
      <c r="C411" t="s">
        <v>96</v>
      </c>
      <c r="D411" t="s">
        <v>79</v>
      </c>
      <c r="E411" t="s">
        <v>20</v>
      </c>
      <c r="F411" t="s">
        <v>133</v>
      </c>
      <c r="G411">
        <v>57</v>
      </c>
      <c r="H411" s="10">
        <v>1200</v>
      </c>
      <c r="I411" s="10">
        <v>68400</v>
      </c>
      <c r="J411">
        <v>0</v>
      </c>
      <c r="K411" s="10">
        <v>0</v>
      </c>
      <c r="L411">
        <v>57</v>
      </c>
      <c r="M411" s="10">
        <v>68400</v>
      </c>
      <c r="N411" t="s">
        <v>33</v>
      </c>
    </row>
    <row r="412" spans="1:14" x14ac:dyDescent="0.35">
      <c r="A412" t="s">
        <v>688</v>
      </c>
      <c r="B412" s="9">
        <v>45595</v>
      </c>
      <c r="C412" t="s">
        <v>96</v>
      </c>
      <c r="D412" t="s">
        <v>65</v>
      </c>
      <c r="E412" t="s">
        <v>20</v>
      </c>
      <c r="F412" t="s">
        <v>52</v>
      </c>
      <c r="G412">
        <v>83</v>
      </c>
      <c r="H412" s="10">
        <v>450</v>
      </c>
      <c r="I412" s="10">
        <v>37350</v>
      </c>
      <c r="J412">
        <v>0</v>
      </c>
      <c r="K412" s="10">
        <v>0</v>
      </c>
      <c r="L412">
        <v>83</v>
      </c>
      <c r="M412" s="10">
        <v>37350</v>
      </c>
      <c r="N412" t="s">
        <v>33</v>
      </c>
    </row>
    <row r="413" spans="1:14" x14ac:dyDescent="0.35">
      <c r="A413" t="s">
        <v>579</v>
      </c>
      <c r="B413" s="9">
        <v>45598</v>
      </c>
      <c r="C413" t="s">
        <v>51</v>
      </c>
      <c r="D413" t="s">
        <v>19</v>
      </c>
      <c r="E413" t="s">
        <v>14</v>
      </c>
      <c r="F413" t="s">
        <v>72</v>
      </c>
      <c r="G413">
        <v>188</v>
      </c>
      <c r="H413" s="10">
        <v>400</v>
      </c>
      <c r="I413" s="10">
        <v>75200</v>
      </c>
      <c r="J413">
        <v>7</v>
      </c>
      <c r="K413" s="10">
        <v>2800</v>
      </c>
      <c r="L413">
        <v>181</v>
      </c>
      <c r="M413" s="10">
        <v>72400</v>
      </c>
      <c r="N413" t="s">
        <v>62</v>
      </c>
    </row>
    <row r="414" spans="1:14" x14ac:dyDescent="0.35">
      <c r="A414" t="s">
        <v>388</v>
      </c>
      <c r="B414" s="9">
        <v>45599</v>
      </c>
      <c r="C414" t="s">
        <v>74</v>
      </c>
      <c r="D414" t="s">
        <v>79</v>
      </c>
      <c r="E414" t="s">
        <v>14</v>
      </c>
      <c r="F414" t="s">
        <v>754</v>
      </c>
      <c r="G414">
        <v>6</v>
      </c>
      <c r="H414" s="10">
        <v>700</v>
      </c>
      <c r="I414" s="10">
        <v>4200</v>
      </c>
      <c r="J414">
        <v>0</v>
      </c>
      <c r="K414" s="10">
        <v>0</v>
      </c>
      <c r="L414">
        <v>6</v>
      </c>
      <c r="M414" s="10">
        <v>4200</v>
      </c>
      <c r="N414" t="s">
        <v>62</v>
      </c>
    </row>
    <row r="415" spans="1:14" x14ac:dyDescent="0.35">
      <c r="A415" t="s">
        <v>90</v>
      </c>
      <c r="B415" s="9">
        <v>45600</v>
      </c>
      <c r="C415" t="s">
        <v>44</v>
      </c>
      <c r="D415" t="s">
        <v>13</v>
      </c>
      <c r="E415" t="s">
        <v>14</v>
      </c>
      <c r="F415" t="s">
        <v>15</v>
      </c>
      <c r="G415">
        <v>23</v>
      </c>
      <c r="H415" s="10">
        <v>1200</v>
      </c>
      <c r="I415" s="10">
        <v>27600</v>
      </c>
      <c r="J415">
        <v>1</v>
      </c>
      <c r="K415" s="10">
        <v>1200</v>
      </c>
      <c r="L415">
        <v>22</v>
      </c>
      <c r="M415" s="10">
        <v>26400</v>
      </c>
      <c r="N415" t="s">
        <v>122</v>
      </c>
    </row>
    <row r="416" spans="1:14" x14ac:dyDescent="0.35">
      <c r="A416" t="s">
        <v>307</v>
      </c>
      <c r="B416" s="9">
        <v>45601</v>
      </c>
      <c r="C416" t="s">
        <v>51</v>
      </c>
      <c r="D416" t="s">
        <v>35</v>
      </c>
      <c r="E416" t="s">
        <v>20</v>
      </c>
      <c r="F416" t="s">
        <v>36</v>
      </c>
      <c r="G416">
        <v>101</v>
      </c>
      <c r="H416" s="10">
        <v>900</v>
      </c>
      <c r="I416" s="10">
        <v>90900</v>
      </c>
      <c r="J416">
        <v>7</v>
      </c>
      <c r="K416" s="10">
        <v>6300</v>
      </c>
      <c r="L416">
        <v>94</v>
      </c>
      <c r="M416" s="10">
        <v>84600</v>
      </c>
      <c r="N416" t="s">
        <v>122</v>
      </c>
    </row>
    <row r="417" spans="1:14" x14ac:dyDescent="0.35">
      <c r="A417" t="s">
        <v>537</v>
      </c>
      <c r="B417" s="9">
        <v>45603</v>
      </c>
      <c r="C417" t="s">
        <v>44</v>
      </c>
      <c r="D417" t="s">
        <v>26</v>
      </c>
      <c r="E417" t="s">
        <v>31</v>
      </c>
      <c r="F417" t="s">
        <v>55</v>
      </c>
      <c r="G417">
        <v>185</v>
      </c>
      <c r="H417" s="10">
        <v>1100</v>
      </c>
      <c r="I417" s="10">
        <v>203500</v>
      </c>
      <c r="J417">
        <v>3</v>
      </c>
      <c r="K417" s="10">
        <v>3300</v>
      </c>
      <c r="L417">
        <v>182</v>
      </c>
      <c r="M417" s="10">
        <v>200200</v>
      </c>
      <c r="N417" t="s">
        <v>122</v>
      </c>
    </row>
    <row r="418" spans="1:14" x14ac:dyDescent="0.35">
      <c r="A418" t="s">
        <v>710</v>
      </c>
      <c r="B418" s="9">
        <v>45603</v>
      </c>
      <c r="C418" t="s">
        <v>74</v>
      </c>
      <c r="D418" t="s">
        <v>79</v>
      </c>
      <c r="E418" t="s">
        <v>20</v>
      </c>
      <c r="F418" t="s">
        <v>97</v>
      </c>
      <c r="G418">
        <v>144</v>
      </c>
      <c r="H418" s="10">
        <v>500</v>
      </c>
      <c r="I418" s="10">
        <v>72000</v>
      </c>
      <c r="J418">
        <v>11</v>
      </c>
      <c r="K418" s="10">
        <v>5500</v>
      </c>
      <c r="L418">
        <v>133</v>
      </c>
      <c r="M418" s="10">
        <v>66500</v>
      </c>
      <c r="N418" t="s">
        <v>62</v>
      </c>
    </row>
    <row r="419" spans="1:14" x14ac:dyDescent="0.35">
      <c r="A419" t="s">
        <v>265</v>
      </c>
      <c r="B419" s="9">
        <v>45604</v>
      </c>
      <c r="C419" t="s">
        <v>96</v>
      </c>
      <c r="D419" t="s">
        <v>54</v>
      </c>
      <c r="E419" t="s">
        <v>20</v>
      </c>
      <c r="F419" t="s">
        <v>52</v>
      </c>
      <c r="G419">
        <v>89</v>
      </c>
      <c r="H419" s="10">
        <v>450</v>
      </c>
      <c r="I419" s="10">
        <v>40050</v>
      </c>
      <c r="J419">
        <v>8</v>
      </c>
      <c r="K419" s="10">
        <v>3600</v>
      </c>
      <c r="L419">
        <v>81</v>
      </c>
      <c r="M419" s="10">
        <v>36450</v>
      </c>
      <c r="N419" t="s">
        <v>33</v>
      </c>
    </row>
    <row r="420" spans="1:14" x14ac:dyDescent="0.35">
      <c r="A420" t="s">
        <v>611</v>
      </c>
      <c r="B420" s="9">
        <v>45604</v>
      </c>
      <c r="C420" t="s">
        <v>44</v>
      </c>
      <c r="D420" t="s">
        <v>13</v>
      </c>
      <c r="E420" t="s">
        <v>20</v>
      </c>
      <c r="F420" t="s">
        <v>133</v>
      </c>
      <c r="G420">
        <v>72</v>
      </c>
      <c r="H420" s="10">
        <v>1200</v>
      </c>
      <c r="I420" s="10">
        <v>86400</v>
      </c>
      <c r="J420">
        <v>0</v>
      </c>
      <c r="K420" s="10">
        <v>0</v>
      </c>
      <c r="L420">
        <v>72</v>
      </c>
      <c r="M420" s="10">
        <v>86400</v>
      </c>
      <c r="N420" t="s">
        <v>33</v>
      </c>
    </row>
    <row r="421" spans="1:14" x14ac:dyDescent="0.35">
      <c r="A421" t="s">
        <v>334</v>
      </c>
      <c r="B421" s="9">
        <v>45605</v>
      </c>
      <c r="C421" t="s">
        <v>74</v>
      </c>
      <c r="D421" t="s">
        <v>753</v>
      </c>
      <c r="E421" t="s">
        <v>20</v>
      </c>
      <c r="F421" t="s">
        <v>133</v>
      </c>
      <c r="G421">
        <v>96</v>
      </c>
      <c r="H421" s="10">
        <v>1200</v>
      </c>
      <c r="I421" s="10">
        <v>115200</v>
      </c>
      <c r="J421">
        <v>0</v>
      </c>
      <c r="K421" s="10">
        <v>0</v>
      </c>
      <c r="L421">
        <v>96</v>
      </c>
      <c r="M421" s="10">
        <v>115200</v>
      </c>
      <c r="N421" t="s">
        <v>122</v>
      </c>
    </row>
    <row r="422" spans="1:14" x14ac:dyDescent="0.35">
      <c r="A422" t="s">
        <v>34</v>
      </c>
      <c r="B422" s="9">
        <v>45606</v>
      </c>
      <c r="C422" t="s">
        <v>18</v>
      </c>
      <c r="D422" t="s">
        <v>35</v>
      </c>
      <c r="E422" t="s">
        <v>20</v>
      </c>
      <c r="F422" t="s">
        <v>36</v>
      </c>
      <c r="G422">
        <v>8</v>
      </c>
      <c r="H422" s="10">
        <v>900</v>
      </c>
      <c r="I422" s="10">
        <v>7200</v>
      </c>
      <c r="J422">
        <v>1</v>
      </c>
      <c r="K422" s="10">
        <v>900</v>
      </c>
      <c r="L422">
        <v>7</v>
      </c>
      <c r="M422" s="10">
        <v>6300</v>
      </c>
      <c r="N422" t="s">
        <v>33</v>
      </c>
    </row>
    <row r="423" spans="1:14" x14ac:dyDescent="0.35">
      <c r="A423" t="s">
        <v>508</v>
      </c>
      <c r="B423" s="9">
        <v>45606</v>
      </c>
      <c r="C423" t="s">
        <v>96</v>
      </c>
      <c r="D423" t="s">
        <v>49</v>
      </c>
      <c r="E423" t="s">
        <v>31</v>
      </c>
      <c r="F423" t="s">
        <v>55</v>
      </c>
      <c r="G423">
        <v>120</v>
      </c>
      <c r="H423" s="10">
        <v>1100</v>
      </c>
      <c r="I423" s="10">
        <v>132000</v>
      </c>
      <c r="J423">
        <v>10</v>
      </c>
      <c r="K423" s="10">
        <v>11000</v>
      </c>
      <c r="L423">
        <v>110</v>
      </c>
      <c r="M423" s="10">
        <v>121000</v>
      </c>
      <c r="N423" t="s">
        <v>122</v>
      </c>
    </row>
    <row r="424" spans="1:14" x14ac:dyDescent="0.35">
      <c r="A424" t="s">
        <v>160</v>
      </c>
      <c r="B424" s="9">
        <v>45607</v>
      </c>
      <c r="C424" t="s">
        <v>25</v>
      </c>
      <c r="D424" t="s">
        <v>26</v>
      </c>
      <c r="E424" t="s">
        <v>31</v>
      </c>
      <c r="F424" t="s">
        <v>159</v>
      </c>
      <c r="G424">
        <v>142</v>
      </c>
      <c r="H424" s="10">
        <v>1800</v>
      </c>
      <c r="I424" s="10">
        <v>255600</v>
      </c>
      <c r="J424">
        <v>0</v>
      </c>
      <c r="K424" s="10">
        <v>0</v>
      </c>
      <c r="L424">
        <v>142</v>
      </c>
      <c r="M424" s="10">
        <v>255600</v>
      </c>
      <c r="N424" t="s">
        <v>62</v>
      </c>
    </row>
    <row r="425" spans="1:14" x14ac:dyDescent="0.35">
      <c r="A425" t="s">
        <v>414</v>
      </c>
      <c r="B425" s="9">
        <v>45607</v>
      </c>
      <c r="C425" t="s">
        <v>74</v>
      </c>
      <c r="D425" t="s">
        <v>13</v>
      </c>
      <c r="E425" t="s">
        <v>31</v>
      </c>
      <c r="F425" t="s">
        <v>121</v>
      </c>
      <c r="G425">
        <v>141</v>
      </c>
      <c r="H425" s="10">
        <v>200</v>
      </c>
      <c r="I425" s="10">
        <v>28200</v>
      </c>
      <c r="J425">
        <v>4</v>
      </c>
      <c r="K425" s="10">
        <v>800</v>
      </c>
      <c r="L425">
        <v>137</v>
      </c>
      <c r="M425" s="10">
        <v>27400</v>
      </c>
      <c r="N425" t="s">
        <v>122</v>
      </c>
    </row>
    <row r="426" spans="1:14" x14ac:dyDescent="0.35">
      <c r="A426" t="s">
        <v>420</v>
      </c>
      <c r="B426" s="9">
        <v>45607</v>
      </c>
      <c r="C426" t="s">
        <v>18</v>
      </c>
      <c r="D426" t="s">
        <v>26</v>
      </c>
      <c r="E426" t="s">
        <v>20</v>
      </c>
      <c r="F426" t="s">
        <v>755</v>
      </c>
      <c r="G426">
        <v>159</v>
      </c>
      <c r="H426" s="10">
        <v>3500</v>
      </c>
      <c r="I426" s="10">
        <v>556500</v>
      </c>
      <c r="J426">
        <v>5</v>
      </c>
      <c r="K426" s="10">
        <v>17500</v>
      </c>
      <c r="L426">
        <v>154</v>
      </c>
      <c r="M426" s="10">
        <v>539000</v>
      </c>
      <c r="N426" t="s">
        <v>62</v>
      </c>
    </row>
    <row r="427" spans="1:14" x14ac:dyDescent="0.35">
      <c r="A427" t="s">
        <v>203</v>
      </c>
      <c r="B427" s="9">
        <v>45609</v>
      </c>
      <c r="C427" t="s">
        <v>74</v>
      </c>
      <c r="D427" t="s">
        <v>26</v>
      </c>
      <c r="E427" t="s">
        <v>31</v>
      </c>
      <c r="F427" t="s">
        <v>81</v>
      </c>
      <c r="G427">
        <v>19</v>
      </c>
      <c r="H427" s="10">
        <v>650</v>
      </c>
      <c r="I427" s="10">
        <v>12350</v>
      </c>
      <c r="J427">
        <v>1</v>
      </c>
      <c r="K427" s="10">
        <v>650</v>
      </c>
      <c r="L427">
        <v>18</v>
      </c>
      <c r="M427" s="10">
        <v>11700</v>
      </c>
      <c r="N427" t="s">
        <v>62</v>
      </c>
    </row>
    <row r="428" spans="1:14" x14ac:dyDescent="0.35">
      <c r="A428" t="s">
        <v>435</v>
      </c>
      <c r="B428" s="9">
        <v>45610</v>
      </c>
      <c r="C428" t="s">
        <v>51</v>
      </c>
      <c r="D428" t="s">
        <v>26</v>
      </c>
      <c r="E428" t="s">
        <v>20</v>
      </c>
      <c r="F428" t="s">
        <v>52</v>
      </c>
      <c r="G428">
        <v>182</v>
      </c>
      <c r="H428" s="10">
        <v>450</v>
      </c>
      <c r="I428" s="10">
        <v>81900</v>
      </c>
      <c r="J428">
        <v>10</v>
      </c>
      <c r="K428" s="10">
        <v>4500</v>
      </c>
      <c r="L428">
        <v>172</v>
      </c>
      <c r="M428" s="10">
        <v>77400</v>
      </c>
      <c r="N428" t="s">
        <v>62</v>
      </c>
    </row>
    <row r="429" spans="1:14" x14ac:dyDescent="0.35">
      <c r="A429" t="s">
        <v>136</v>
      </c>
      <c r="B429" s="9">
        <v>45612</v>
      </c>
      <c r="C429" t="s">
        <v>18</v>
      </c>
      <c r="D429" t="s">
        <v>26</v>
      </c>
      <c r="E429" t="s">
        <v>31</v>
      </c>
      <c r="F429" t="s">
        <v>45</v>
      </c>
      <c r="G429">
        <v>43</v>
      </c>
      <c r="H429" s="10">
        <v>1200</v>
      </c>
      <c r="I429" s="10">
        <v>51600</v>
      </c>
      <c r="J429">
        <v>0</v>
      </c>
      <c r="K429" s="10">
        <v>0</v>
      </c>
      <c r="L429">
        <v>43</v>
      </c>
      <c r="M429" s="10">
        <v>51600</v>
      </c>
      <c r="N429" t="s">
        <v>33</v>
      </c>
    </row>
    <row r="430" spans="1:14" x14ac:dyDescent="0.35">
      <c r="A430" t="s">
        <v>436</v>
      </c>
      <c r="B430" s="9">
        <v>45612</v>
      </c>
      <c r="C430" t="s">
        <v>74</v>
      </c>
      <c r="D430" t="s">
        <v>49</v>
      </c>
      <c r="E430" t="s">
        <v>14</v>
      </c>
      <c r="F430" t="s">
        <v>61</v>
      </c>
      <c r="G430">
        <v>66</v>
      </c>
      <c r="H430" s="10">
        <v>2200</v>
      </c>
      <c r="I430" s="10">
        <v>145200</v>
      </c>
      <c r="J430">
        <v>2</v>
      </c>
      <c r="K430" s="10">
        <v>4400</v>
      </c>
      <c r="L430">
        <v>64</v>
      </c>
      <c r="M430" s="10">
        <v>140800</v>
      </c>
      <c r="N430" t="s">
        <v>33</v>
      </c>
    </row>
    <row r="431" spans="1:14" x14ac:dyDescent="0.35">
      <c r="A431" t="s">
        <v>496</v>
      </c>
      <c r="B431" s="9">
        <v>45612</v>
      </c>
      <c r="C431" t="s">
        <v>51</v>
      </c>
      <c r="D431" t="s">
        <v>13</v>
      </c>
      <c r="E431" t="s">
        <v>14</v>
      </c>
      <c r="F431" t="s">
        <v>27</v>
      </c>
      <c r="G431">
        <v>39</v>
      </c>
      <c r="H431" s="10">
        <v>1600</v>
      </c>
      <c r="I431" s="10">
        <v>62400</v>
      </c>
      <c r="J431">
        <v>2</v>
      </c>
      <c r="K431" s="10">
        <v>3200</v>
      </c>
      <c r="L431">
        <v>37</v>
      </c>
      <c r="M431" s="10">
        <v>59200</v>
      </c>
      <c r="N431" t="s">
        <v>122</v>
      </c>
    </row>
    <row r="432" spans="1:14" x14ac:dyDescent="0.35">
      <c r="A432" t="s">
        <v>100</v>
      </c>
      <c r="B432" s="9">
        <v>45614</v>
      </c>
      <c r="C432" t="s">
        <v>51</v>
      </c>
      <c r="D432" t="s">
        <v>93</v>
      </c>
      <c r="E432" t="s">
        <v>31</v>
      </c>
      <c r="F432" t="s">
        <v>55</v>
      </c>
      <c r="G432">
        <v>128</v>
      </c>
      <c r="H432" s="10">
        <v>1100</v>
      </c>
      <c r="I432" s="10">
        <v>140800</v>
      </c>
      <c r="J432">
        <v>3</v>
      </c>
      <c r="K432" s="10">
        <v>3300</v>
      </c>
      <c r="L432">
        <v>125</v>
      </c>
      <c r="M432" s="10">
        <v>137500</v>
      </c>
      <c r="N432" t="s">
        <v>753</v>
      </c>
    </row>
    <row r="433" spans="1:14" x14ac:dyDescent="0.35">
      <c r="A433" t="s">
        <v>693</v>
      </c>
      <c r="B433" s="9">
        <v>45614</v>
      </c>
      <c r="C433" t="s">
        <v>74</v>
      </c>
      <c r="D433" t="s">
        <v>26</v>
      </c>
      <c r="E433" t="s">
        <v>14</v>
      </c>
      <c r="F433" t="s">
        <v>61</v>
      </c>
      <c r="G433">
        <v>165</v>
      </c>
      <c r="H433" s="10">
        <v>2200</v>
      </c>
      <c r="I433" s="10">
        <v>363000</v>
      </c>
      <c r="J433">
        <v>0</v>
      </c>
      <c r="K433" s="10">
        <v>0</v>
      </c>
      <c r="L433">
        <v>165</v>
      </c>
      <c r="M433" s="10">
        <v>363000</v>
      </c>
      <c r="N433" t="s">
        <v>33</v>
      </c>
    </row>
    <row r="434" spans="1:14" x14ac:dyDescent="0.35">
      <c r="A434" t="s">
        <v>234</v>
      </c>
      <c r="B434" s="9">
        <v>45616</v>
      </c>
      <c r="C434" t="s">
        <v>44</v>
      </c>
      <c r="D434" t="s">
        <v>79</v>
      </c>
      <c r="E434" t="s">
        <v>31</v>
      </c>
      <c r="F434" t="s">
        <v>55</v>
      </c>
      <c r="G434">
        <v>12</v>
      </c>
      <c r="H434" s="10">
        <v>1100</v>
      </c>
      <c r="I434" s="10">
        <v>13200</v>
      </c>
      <c r="J434">
        <v>0</v>
      </c>
      <c r="K434" s="10">
        <v>0</v>
      </c>
      <c r="L434">
        <v>12</v>
      </c>
      <c r="M434" s="10">
        <v>13200</v>
      </c>
      <c r="N434" t="s">
        <v>62</v>
      </c>
    </row>
    <row r="435" spans="1:14" x14ac:dyDescent="0.35">
      <c r="A435" t="s">
        <v>590</v>
      </c>
      <c r="B435" s="9">
        <v>45616</v>
      </c>
      <c r="C435" t="s">
        <v>51</v>
      </c>
      <c r="D435" t="s">
        <v>65</v>
      </c>
      <c r="E435" t="s">
        <v>14</v>
      </c>
      <c r="F435" t="s">
        <v>61</v>
      </c>
      <c r="G435">
        <v>133</v>
      </c>
      <c r="H435" s="10">
        <v>2200</v>
      </c>
      <c r="I435" s="10">
        <v>292600</v>
      </c>
      <c r="J435">
        <v>13</v>
      </c>
      <c r="K435" s="10">
        <v>28600</v>
      </c>
      <c r="L435">
        <v>120</v>
      </c>
      <c r="M435" s="10">
        <v>264000</v>
      </c>
      <c r="N435" t="s">
        <v>33</v>
      </c>
    </row>
    <row r="436" spans="1:14" x14ac:dyDescent="0.35">
      <c r="A436" t="s">
        <v>543</v>
      </c>
      <c r="B436" s="9">
        <v>45617</v>
      </c>
      <c r="C436" t="s">
        <v>44</v>
      </c>
      <c r="D436" t="s">
        <v>54</v>
      </c>
      <c r="E436" t="s">
        <v>14</v>
      </c>
      <c r="F436" t="s">
        <v>15</v>
      </c>
      <c r="G436">
        <v>116</v>
      </c>
      <c r="H436" s="10">
        <v>1200</v>
      </c>
      <c r="I436" s="10">
        <v>139200</v>
      </c>
      <c r="J436">
        <v>11</v>
      </c>
      <c r="K436" s="10">
        <v>13200</v>
      </c>
      <c r="L436">
        <v>105</v>
      </c>
      <c r="M436" s="10">
        <v>126000</v>
      </c>
      <c r="N436" t="s">
        <v>122</v>
      </c>
    </row>
    <row r="437" spans="1:14" x14ac:dyDescent="0.35">
      <c r="A437" t="s">
        <v>566</v>
      </c>
      <c r="B437" s="9">
        <v>45619</v>
      </c>
      <c r="C437" t="s">
        <v>18</v>
      </c>
      <c r="D437" t="s">
        <v>13</v>
      </c>
      <c r="E437" t="s">
        <v>31</v>
      </c>
      <c r="F437" t="s">
        <v>81</v>
      </c>
      <c r="G437">
        <v>193</v>
      </c>
      <c r="H437" s="10">
        <v>650</v>
      </c>
      <c r="I437" s="10">
        <v>125450</v>
      </c>
      <c r="J437">
        <v>1</v>
      </c>
      <c r="K437" s="10">
        <v>650</v>
      </c>
      <c r="L437">
        <v>192</v>
      </c>
      <c r="M437" s="10">
        <v>124800</v>
      </c>
      <c r="N437" t="s">
        <v>33</v>
      </c>
    </row>
    <row r="438" spans="1:14" x14ac:dyDescent="0.35">
      <c r="A438" t="s">
        <v>586</v>
      </c>
      <c r="B438" s="9">
        <v>45619</v>
      </c>
      <c r="C438" t="s">
        <v>96</v>
      </c>
      <c r="D438" t="s">
        <v>54</v>
      </c>
      <c r="E438" t="s">
        <v>20</v>
      </c>
      <c r="F438" t="s">
        <v>36</v>
      </c>
      <c r="G438">
        <v>186</v>
      </c>
      <c r="H438" s="10">
        <v>900</v>
      </c>
      <c r="I438" s="10">
        <v>167400</v>
      </c>
      <c r="J438">
        <v>9</v>
      </c>
      <c r="K438" s="10">
        <v>8100</v>
      </c>
      <c r="L438">
        <v>177</v>
      </c>
      <c r="M438" s="10">
        <v>159300</v>
      </c>
      <c r="N438" t="s">
        <v>122</v>
      </c>
    </row>
    <row r="439" spans="1:14" x14ac:dyDescent="0.35">
      <c r="A439" t="s">
        <v>50</v>
      </c>
      <c r="B439" s="9">
        <v>45621</v>
      </c>
      <c r="C439" t="s">
        <v>51</v>
      </c>
      <c r="D439" t="s">
        <v>41</v>
      </c>
      <c r="E439" t="s">
        <v>20</v>
      </c>
      <c r="F439" t="s">
        <v>52</v>
      </c>
      <c r="G439">
        <v>118</v>
      </c>
      <c r="H439" s="10">
        <v>450</v>
      </c>
      <c r="I439" s="10">
        <v>53100</v>
      </c>
      <c r="J439">
        <v>3</v>
      </c>
      <c r="K439" s="10">
        <v>1350</v>
      </c>
      <c r="L439">
        <v>115</v>
      </c>
      <c r="M439" s="10">
        <v>51750</v>
      </c>
      <c r="N439" t="s">
        <v>62</v>
      </c>
    </row>
    <row r="440" spans="1:14" x14ac:dyDescent="0.35">
      <c r="A440" t="s">
        <v>560</v>
      </c>
      <c r="B440" s="9">
        <v>45621</v>
      </c>
      <c r="C440" t="s">
        <v>25</v>
      </c>
      <c r="D440" t="s">
        <v>79</v>
      </c>
      <c r="E440" t="s">
        <v>20</v>
      </c>
      <c r="F440" t="s">
        <v>133</v>
      </c>
      <c r="G440">
        <v>39</v>
      </c>
      <c r="H440" s="10">
        <v>1200</v>
      </c>
      <c r="I440" s="10">
        <v>46800</v>
      </c>
      <c r="J440">
        <v>0</v>
      </c>
      <c r="K440" s="10">
        <v>0</v>
      </c>
      <c r="L440">
        <v>39</v>
      </c>
      <c r="M440" s="10">
        <v>46800</v>
      </c>
      <c r="N440" t="s">
        <v>33</v>
      </c>
    </row>
    <row r="441" spans="1:14" x14ac:dyDescent="0.35">
      <c r="A441" t="s">
        <v>111</v>
      </c>
      <c r="B441" s="9">
        <v>45622</v>
      </c>
      <c r="C441" t="s">
        <v>25</v>
      </c>
      <c r="D441" t="s">
        <v>65</v>
      </c>
      <c r="E441" t="s">
        <v>31</v>
      </c>
      <c r="F441" t="s">
        <v>81</v>
      </c>
      <c r="G441">
        <v>105</v>
      </c>
      <c r="H441" s="10">
        <v>650</v>
      </c>
      <c r="I441" s="10">
        <v>68250</v>
      </c>
      <c r="J441">
        <v>3</v>
      </c>
      <c r="K441" s="10">
        <v>1950</v>
      </c>
      <c r="L441">
        <v>102</v>
      </c>
      <c r="M441" s="10">
        <v>66300</v>
      </c>
      <c r="N441" t="s">
        <v>122</v>
      </c>
    </row>
    <row r="442" spans="1:14" x14ac:dyDescent="0.35">
      <c r="A442" t="s">
        <v>584</v>
      </c>
      <c r="B442" s="9">
        <v>45622</v>
      </c>
      <c r="C442" t="s">
        <v>96</v>
      </c>
      <c r="D442" t="s">
        <v>19</v>
      </c>
      <c r="E442" t="s">
        <v>14</v>
      </c>
      <c r="F442" t="s">
        <v>754</v>
      </c>
      <c r="G442">
        <v>101</v>
      </c>
      <c r="H442" s="10">
        <v>700</v>
      </c>
      <c r="I442" s="10">
        <v>70700</v>
      </c>
      <c r="J442">
        <v>10</v>
      </c>
      <c r="K442" s="10">
        <v>7000</v>
      </c>
      <c r="L442">
        <v>91</v>
      </c>
      <c r="M442" s="10">
        <v>63700</v>
      </c>
      <c r="N442" t="s">
        <v>62</v>
      </c>
    </row>
    <row r="443" spans="1:14" x14ac:dyDescent="0.35">
      <c r="A443" t="s">
        <v>609</v>
      </c>
      <c r="B443" s="9">
        <v>45622</v>
      </c>
      <c r="C443" t="s">
        <v>44</v>
      </c>
      <c r="D443" t="s">
        <v>13</v>
      </c>
      <c r="E443" t="s">
        <v>31</v>
      </c>
      <c r="F443" t="s">
        <v>159</v>
      </c>
      <c r="G443">
        <v>198</v>
      </c>
      <c r="H443" s="10">
        <v>1800</v>
      </c>
      <c r="I443" s="10">
        <v>356400</v>
      </c>
      <c r="J443">
        <v>18</v>
      </c>
      <c r="K443" s="10">
        <v>32400</v>
      </c>
      <c r="L443">
        <v>180</v>
      </c>
      <c r="M443" s="10">
        <v>324000</v>
      </c>
      <c r="N443" t="s">
        <v>122</v>
      </c>
    </row>
    <row r="444" spans="1:14" x14ac:dyDescent="0.35">
      <c r="A444" t="s">
        <v>289</v>
      </c>
      <c r="B444" s="9">
        <v>45623</v>
      </c>
      <c r="C444" t="s">
        <v>74</v>
      </c>
      <c r="D444" t="s">
        <v>65</v>
      </c>
      <c r="E444" t="s">
        <v>20</v>
      </c>
      <c r="F444" t="s">
        <v>133</v>
      </c>
      <c r="G444">
        <v>69</v>
      </c>
      <c r="H444" s="10">
        <v>1200</v>
      </c>
      <c r="I444" s="10">
        <v>82800</v>
      </c>
      <c r="J444">
        <v>2</v>
      </c>
      <c r="K444" s="10">
        <v>2400</v>
      </c>
      <c r="L444">
        <v>67</v>
      </c>
      <c r="M444" s="10">
        <v>80400</v>
      </c>
      <c r="N444" t="s">
        <v>122</v>
      </c>
    </row>
    <row r="445" spans="1:14" x14ac:dyDescent="0.35">
      <c r="A445" t="s">
        <v>294</v>
      </c>
      <c r="B445" s="9">
        <v>45624</v>
      </c>
      <c r="C445" t="s">
        <v>74</v>
      </c>
      <c r="D445" t="s">
        <v>54</v>
      </c>
      <c r="E445" t="s">
        <v>31</v>
      </c>
      <c r="F445" t="s">
        <v>55</v>
      </c>
      <c r="G445">
        <v>125</v>
      </c>
      <c r="H445" s="10">
        <v>1100</v>
      </c>
      <c r="I445" s="10">
        <v>137500</v>
      </c>
      <c r="J445">
        <v>0</v>
      </c>
      <c r="K445" s="10">
        <v>0</v>
      </c>
      <c r="L445">
        <v>125</v>
      </c>
      <c r="M445" s="10">
        <v>137500</v>
      </c>
      <c r="N445" t="s">
        <v>33</v>
      </c>
    </row>
    <row r="446" spans="1:14" x14ac:dyDescent="0.35">
      <c r="A446" t="s">
        <v>321</v>
      </c>
      <c r="B446" s="9">
        <v>45624</v>
      </c>
      <c r="C446" t="s">
        <v>96</v>
      </c>
      <c r="D446" t="s">
        <v>13</v>
      </c>
      <c r="E446" t="s">
        <v>14</v>
      </c>
      <c r="F446" t="s">
        <v>15</v>
      </c>
      <c r="G446">
        <v>76</v>
      </c>
      <c r="H446" s="10">
        <v>0</v>
      </c>
      <c r="I446" s="10">
        <v>0</v>
      </c>
      <c r="J446">
        <v>5</v>
      </c>
      <c r="K446" s="10">
        <v>0</v>
      </c>
      <c r="L446">
        <v>71</v>
      </c>
      <c r="M446" s="10">
        <v>0</v>
      </c>
      <c r="N446" t="s">
        <v>62</v>
      </c>
    </row>
    <row r="447" spans="1:14" x14ac:dyDescent="0.35">
      <c r="A447" t="s">
        <v>310</v>
      </c>
      <c r="B447" s="9">
        <v>45626</v>
      </c>
      <c r="C447" t="s">
        <v>96</v>
      </c>
      <c r="D447" t="s">
        <v>54</v>
      </c>
      <c r="E447" t="s">
        <v>31</v>
      </c>
      <c r="F447" t="s">
        <v>45</v>
      </c>
      <c r="G447">
        <v>89</v>
      </c>
      <c r="H447" s="10">
        <v>1200</v>
      </c>
      <c r="I447" s="10">
        <v>106800</v>
      </c>
      <c r="J447">
        <v>8</v>
      </c>
      <c r="K447" s="10">
        <v>9600</v>
      </c>
      <c r="L447">
        <v>81</v>
      </c>
      <c r="M447" s="10">
        <v>97200</v>
      </c>
      <c r="N447" t="s">
        <v>62</v>
      </c>
    </row>
    <row r="448" spans="1:14" x14ac:dyDescent="0.35">
      <c r="A448" t="s">
        <v>386</v>
      </c>
      <c r="B448" s="9">
        <v>45626</v>
      </c>
      <c r="C448" t="s">
        <v>51</v>
      </c>
      <c r="D448" t="s">
        <v>65</v>
      </c>
      <c r="E448" t="s">
        <v>20</v>
      </c>
      <c r="F448" t="s">
        <v>97</v>
      </c>
      <c r="G448">
        <v>101</v>
      </c>
      <c r="H448" s="10">
        <v>500</v>
      </c>
      <c r="I448" s="10">
        <v>50500</v>
      </c>
      <c r="J448">
        <v>5</v>
      </c>
      <c r="K448" s="10">
        <v>2500</v>
      </c>
      <c r="L448">
        <v>96</v>
      </c>
      <c r="M448" s="10">
        <v>48000</v>
      </c>
      <c r="N448" t="s">
        <v>753</v>
      </c>
    </row>
    <row r="449" spans="1:14" x14ac:dyDescent="0.35">
      <c r="A449" t="s">
        <v>548</v>
      </c>
      <c r="B449" s="9">
        <v>45626</v>
      </c>
      <c r="C449" t="s">
        <v>18</v>
      </c>
      <c r="D449" t="s">
        <v>93</v>
      </c>
      <c r="E449" t="s">
        <v>31</v>
      </c>
      <c r="F449" t="s">
        <v>45</v>
      </c>
      <c r="G449">
        <v>115</v>
      </c>
      <c r="H449" s="10">
        <v>1200</v>
      </c>
      <c r="I449" s="10">
        <v>138000</v>
      </c>
      <c r="J449">
        <v>0</v>
      </c>
      <c r="K449" s="10">
        <v>0</v>
      </c>
      <c r="L449">
        <v>115</v>
      </c>
      <c r="M449" s="10">
        <v>138000</v>
      </c>
      <c r="N449" t="s">
        <v>122</v>
      </c>
    </row>
    <row r="450" spans="1:14" x14ac:dyDescent="0.35">
      <c r="A450" t="s">
        <v>527</v>
      </c>
      <c r="B450" s="9">
        <v>45627</v>
      </c>
      <c r="C450" t="s">
        <v>18</v>
      </c>
      <c r="D450" t="s">
        <v>13</v>
      </c>
      <c r="E450" t="s">
        <v>14</v>
      </c>
      <c r="F450" t="s">
        <v>61</v>
      </c>
      <c r="G450">
        <v>54</v>
      </c>
      <c r="H450" s="10">
        <v>2200</v>
      </c>
      <c r="I450" s="10">
        <v>118800</v>
      </c>
      <c r="J450">
        <v>2</v>
      </c>
      <c r="K450" s="10">
        <v>4400</v>
      </c>
      <c r="L450">
        <v>52</v>
      </c>
      <c r="M450" s="10">
        <v>114400</v>
      </c>
      <c r="N450" t="s">
        <v>33</v>
      </c>
    </row>
    <row r="451" spans="1:14" x14ac:dyDescent="0.35">
      <c r="A451" t="s">
        <v>647</v>
      </c>
      <c r="B451" s="9">
        <v>45628</v>
      </c>
      <c r="C451" t="s">
        <v>51</v>
      </c>
      <c r="D451" t="s">
        <v>54</v>
      </c>
      <c r="E451" t="s">
        <v>14</v>
      </c>
      <c r="F451" t="s">
        <v>27</v>
      </c>
      <c r="G451">
        <v>154</v>
      </c>
      <c r="H451" s="10">
        <v>1600</v>
      </c>
      <c r="I451" s="10">
        <v>246400</v>
      </c>
      <c r="J451">
        <v>12</v>
      </c>
      <c r="K451" s="10">
        <v>19200</v>
      </c>
      <c r="L451">
        <v>142</v>
      </c>
      <c r="M451" s="10">
        <v>227200</v>
      </c>
      <c r="N451" t="s">
        <v>33</v>
      </c>
    </row>
    <row r="452" spans="1:14" x14ac:dyDescent="0.35">
      <c r="A452" t="s">
        <v>183</v>
      </c>
      <c r="B452" s="9">
        <v>45629</v>
      </c>
      <c r="C452" t="s">
        <v>25</v>
      </c>
      <c r="D452" t="s">
        <v>26</v>
      </c>
      <c r="E452" t="s">
        <v>14</v>
      </c>
      <c r="F452" t="s">
        <v>15</v>
      </c>
      <c r="G452">
        <v>151</v>
      </c>
      <c r="H452" s="10">
        <v>1200</v>
      </c>
      <c r="I452" s="10">
        <v>181200</v>
      </c>
      <c r="J452">
        <v>2</v>
      </c>
      <c r="K452" s="10">
        <v>2400</v>
      </c>
      <c r="L452">
        <v>149</v>
      </c>
      <c r="M452" s="10">
        <v>178800</v>
      </c>
      <c r="N452" t="s">
        <v>33</v>
      </c>
    </row>
    <row r="453" spans="1:14" x14ac:dyDescent="0.35">
      <c r="A453" t="s">
        <v>483</v>
      </c>
      <c r="B453" s="9">
        <v>45629</v>
      </c>
      <c r="C453" t="s">
        <v>96</v>
      </c>
      <c r="D453" t="s">
        <v>13</v>
      </c>
      <c r="E453" t="s">
        <v>20</v>
      </c>
      <c r="F453" t="s">
        <v>52</v>
      </c>
      <c r="G453">
        <v>132</v>
      </c>
      <c r="H453" s="10">
        <v>450</v>
      </c>
      <c r="I453" s="10">
        <v>59400</v>
      </c>
      <c r="J453">
        <v>5</v>
      </c>
      <c r="K453" s="10">
        <v>2250</v>
      </c>
      <c r="L453">
        <v>127</v>
      </c>
      <c r="M453" s="10">
        <v>57150</v>
      </c>
      <c r="N453" t="s">
        <v>33</v>
      </c>
    </row>
    <row r="454" spans="1:14" x14ac:dyDescent="0.35">
      <c r="A454" t="s">
        <v>445</v>
      </c>
      <c r="B454" s="9">
        <v>45631</v>
      </c>
      <c r="C454" t="s">
        <v>74</v>
      </c>
      <c r="D454" t="s">
        <v>35</v>
      </c>
      <c r="E454" t="s">
        <v>20</v>
      </c>
      <c r="F454" t="s">
        <v>755</v>
      </c>
      <c r="G454">
        <v>12</v>
      </c>
      <c r="H454" s="10">
        <v>3500</v>
      </c>
      <c r="I454" s="10">
        <v>42000</v>
      </c>
      <c r="J454">
        <v>0</v>
      </c>
      <c r="K454" s="10">
        <v>0</v>
      </c>
      <c r="L454">
        <v>12</v>
      </c>
      <c r="M454" s="10">
        <v>42000</v>
      </c>
      <c r="N454" t="s">
        <v>122</v>
      </c>
    </row>
    <row r="455" spans="1:14" x14ac:dyDescent="0.35">
      <c r="A455" t="s">
        <v>659</v>
      </c>
      <c r="B455" s="9">
        <v>45634</v>
      </c>
      <c r="C455" t="s">
        <v>51</v>
      </c>
      <c r="D455" t="s">
        <v>54</v>
      </c>
      <c r="E455" t="s">
        <v>14</v>
      </c>
      <c r="F455" t="s">
        <v>99</v>
      </c>
      <c r="G455">
        <v>77</v>
      </c>
      <c r="H455" s="10">
        <v>1500</v>
      </c>
      <c r="I455" s="10">
        <v>115500</v>
      </c>
      <c r="J455">
        <v>0</v>
      </c>
      <c r="K455" s="10">
        <v>0</v>
      </c>
      <c r="L455">
        <v>77</v>
      </c>
      <c r="M455" s="10">
        <v>115500</v>
      </c>
      <c r="N455" t="s">
        <v>62</v>
      </c>
    </row>
    <row r="456" spans="1:14" x14ac:dyDescent="0.35">
      <c r="A456" t="s">
        <v>448</v>
      </c>
      <c r="B456" s="9">
        <v>45635</v>
      </c>
      <c r="C456" t="s">
        <v>51</v>
      </c>
      <c r="D456" t="s">
        <v>26</v>
      </c>
      <c r="E456" t="s">
        <v>31</v>
      </c>
      <c r="F456" t="s">
        <v>55</v>
      </c>
      <c r="G456">
        <v>134</v>
      </c>
      <c r="H456" s="10">
        <v>1100</v>
      </c>
      <c r="I456" s="10">
        <v>147400</v>
      </c>
      <c r="J456">
        <v>8</v>
      </c>
      <c r="K456" s="10">
        <v>8800</v>
      </c>
      <c r="L456">
        <v>126</v>
      </c>
      <c r="M456" s="10">
        <v>138600</v>
      </c>
      <c r="N456" t="s">
        <v>33</v>
      </c>
    </row>
    <row r="457" spans="1:14" x14ac:dyDescent="0.35">
      <c r="A457" t="s">
        <v>478</v>
      </c>
      <c r="B457" s="9">
        <v>45636</v>
      </c>
      <c r="C457" t="s">
        <v>74</v>
      </c>
      <c r="D457" t="s">
        <v>93</v>
      </c>
      <c r="E457" t="s">
        <v>20</v>
      </c>
      <c r="F457" t="s">
        <v>52</v>
      </c>
      <c r="G457">
        <v>31</v>
      </c>
      <c r="H457" s="10">
        <v>450</v>
      </c>
      <c r="I457" s="10">
        <v>13950</v>
      </c>
      <c r="J457">
        <v>0</v>
      </c>
      <c r="K457" s="10">
        <v>0</v>
      </c>
      <c r="L457">
        <v>31</v>
      </c>
      <c r="M457" s="10">
        <v>13950</v>
      </c>
      <c r="N457" t="s">
        <v>33</v>
      </c>
    </row>
    <row r="458" spans="1:14" x14ac:dyDescent="0.35">
      <c r="A458" t="s">
        <v>144</v>
      </c>
      <c r="B458" s="9">
        <v>45638</v>
      </c>
      <c r="C458" t="s">
        <v>96</v>
      </c>
      <c r="D458" t="s">
        <v>19</v>
      </c>
      <c r="E458" t="s">
        <v>20</v>
      </c>
      <c r="F458" t="s">
        <v>133</v>
      </c>
      <c r="G458">
        <v>24</v>
      </c>
      <c r="H458" s="10">
        <v>1200</v>
      </c>
      <c r="I458" s="10">
        <v>28800</v>
      </c>
      <c r="J458">
        <v>1</v>
      </c>
      <c r="K458" s="10">
        <v>1200</v>
      </c>
      <c r="L458">
        <v>23</v>
      </c>
      <c r="M458" s="10">
        <v>27600</v>
      </c>
      <c r="N458" t="s">
        <v>122</v>
      </c>
    </row>
    <row r="459" spans="1:14" x14ac:dyDescent="0.35">
      <c r="A459" t="s">
        <v>573</v>
      </c>
      <c r="B459" s="9">
        <v>45638</v>
      </c>
      <c r="C459" t="s">
        <v>18</v>
      </c>
      <c r="D459" t="s">
        <v>65</v>
      </c>
      <c r="E459" t="s">
        <v>14</v>
      </c>
      <c r="F459" t="s">
        <v>61</v>
      </c>
      <c r="G459">
        <v>30</v>
      </c>
      <c r="H459" s="10">
        <v>2200</v>
      </c>
      <c r="I459" s="10">
        <v>66000</v>
      </c>
      <c r="J459">
        <v>0</v>
      </c>
      <c r="K459" s="10">
        <v>0</v>
      </c>
      <c r="L459">
        <v>30</v>
      </c>
      <c r="M459" s="10">
        <v>66000</v>
      </c>
      <c r="N459" t="s">
        <v>122</v>
      </c>
    </row>
    <row r="460" spans="1:14" x14ac:dyDescent="0.35">
      <c r="A460" t="s">
        <v>583</v>
      </c>
      <c r="B460" s="9">
        <v>45638</v>
      </c>
      <c r="C460" t="s">
        <v>74</v>
      </c>
      <c r="D460" t="s">
        <v>19</v>
      </c>
      <c r="E460" t="s">
        <v>31</v>
      </c>
      <c r="F460" t="s">
        <v>159</v>
      </c>
      <c r="G460">
        <v>79</v>
      </c>
      <c r="H460" s="10">
        <v>1800</v>
      </c>
      <c r="I460" s="10">
        <v>142200</v>
      </c>
      <c r="J460">
        <v>0</v>
      </c>
      <c r="K460" s="10">
        <v>0</v>
      </c>
      <c r="L460">
        <v>79</v>
      </c>
      <c r="M460" s="10">
        <v>142200</v>
      </c>
      <c r="N460" t="s">
        <v>753</v>
      </c>
    </row>
    <row r="461" spans="1:14" x14ac:dyDescent="0.35">
      <c r="A461" t="s">
        <v>212</v>
      </c>
      <c r="B461" s="9">
        <v>45639</v>
      </c>
      <c r="C461" t="s">
        <v>96</v>
      </c>
      <c r="D461" t="s">
        <v>49</v>
      </c>
      <c r="E461" t="s">
        <v>31</v>
      </c>
      <c r="F461" t="s">
        <v>159</v>
      </c>
      <c r="G461">
        <v>161</v>
      </c>
      <c r="H461" s="10">
        <v>1800</v>
      </c>
      <c r="I461" s="10">
        <v>289800</v>
      </c>
      <c r="J461">
        <v>0</v>
      </c>
      <c r="K461" s="10">
        <v>0</v>
      </c>
      <c r="L461">
        <v>161</v>
      </c>
      <c r="M461" s="10">
        <v>289800</v>
      </c>
      <c r="N461" t="s">
        <v>753</v>
      </c>
    </row>
    <row r="462" spans="1:14" x14ac:dyDescent="0.35">
      <c r="A462" t="s">
        <v>331</v>
      </c>
      <c r="B462" s="9">
        <v>45639</v>
      </c>
      <c r="C462" t="s">
        <v>51</v>
      </c>
      <c r="D462" t="s">
        <v>26</v>
      </c>
      <c r="E462" t="s">
        <v>31</v>
      </c>
      <c r="F462" t="s">
        <v>121</v>
      </c>
      <c r="G462">
        <v>95</v>
      </c>
      <c r="H462" s="10">
        <v>200</v>
      </c>
      <c r="I462" s="10">
        <v>19000</v>
      </c>
      <c r="J462">
        <v>6</v>
      </c>
      <c r="K462" s="10">
        <v>1200</v>
      </c>
      <c r="L462">
        <v>89</v>
      </c>
      <c r="M462" s="10">
        <v>17800</v>
      </c>
      <c r="N462" t="s">
        <v>122</v>
      </c>
    </row>
    <row r="463" spans="1:14" x14ac:dyDescent="0.35">
      <c r="A463" t="s">
        <v>577</v>
      </c>
      <c r="B463" s="9">
        <v>45640</v>
      </c>
      <c r="C463" t="s">
        <v>44</v>
      </c>
      <c r="D463" t="s">
        <v>49</v>
      </c>
      <c r="E463" t="s">
        <v>31</v>
      </c>
      <c r="F463" t="s">
        <v>89</v>
      </c>
      <c r="G463">
        <v>182</v>
      </c>
      <c r="H463" s="10">
        <v>900</v>
      </c>
      <c r="I463" s="10">
        <v>163800</v>
      </c>
      <c r="J463">
        <v>3</v>
      </c>
      <c r="K463" s="10">
        <v>2700</v>
      </c>
      <c r="L463">
        <v>179</v>
      </c>
      <c r="M463" s="10">
        <v>161100</v>
      </c>
      <c r="N463" t="s">
        <v>33</v>
      </c>
    </row>
    <row r="464" spans="1:14" x14ac:dyDescent="0.35">
      <c r="A464" t="s">
        <v>403</v>
      </c>
      <c r="B464" s="9">
        <v>45642</v>
      </c>
      <c r="C464" t="s">
        <v>96</v>
      </c>
      <c r="D464" t="s">
        <v>65</v>
      </c>
      <c r="E464" t="s">
        <v>14</v>
      </c>
      <c r="F464" t="s">
        <v>15</v>
      </c>
      <c r="G464">
        <v>56</v>
      </c>
      <c r="H464" s="10">
        <v>1200</v>
      </c>
      <c r="I464" s="10">
        <v>67200</v>
      </c>
      <c r="J464">
        <v>3</v>
      </c>
      <c r="K464" s="10">
        <v>3600</v>
      </c>
      <c r="L464">
        <v>53</v>
      </c>
      <c r="M464" s="10">
        <v>63600</v>
      </c>
      <c r="N464" t="s">
        <v>33</v>
      </c>
    </row>
    <row r="465" spans="1:14" x14ac:dyDescent="0.35">
      <c r="A465" t="s">
        <v>441</v>
      </c>
      <c r="B465" s="9">
        <v>45642</v>
      </c>
      <c r="C465" t="s">
        <v>44</v>
      </c>
      <c r="D465" t="s">
        <v>65</v>
      </c>
      <c r="E465" t="s">
        <v>20</v>
      </c>
      <c r="F465" t="s">
        <v>755</v>
      </c>
      <c r="G465">
        <v>67</v>
      </c>
      <c r="H465" s="10">
        <v>3500</v>
      </c>
      <c r="I465" s="10">
        <v>234500</v>
      </c>
      <c r="J465">
        <v>0</v>
      </c>
      <c r="K465" s="10">
        <v>0</v>
      </c>
      <c r="L465">
        <v>67</v>
      </c>
      <c r="M465" s="10">
        <v>234500</v>
      </c>
      <c r="N465" t="s">
        <v>62</v>
      </c>
    </row>
    <row r="466" spans="1:14" x14ac:dyDescent="0.35">
      <c r="A466" t="s">
        <v>465</v>
      </c>
      <c r="B466" s="9">
        <v>45642</v>
      </c>
      <c r="C466" t="s">
        <v>51</v>
      </c>
      <c r="D466" t="s">
        <v>26</v>
      </c>
      <c r="E466" t="s">
        <v>31</v>
      </c>
      <c r="F466" t="s">
        <v>55</v>
      </c>
      <c r="G466">
        <v>56</v>
      </c>
      <c r="H466" s="10">
        <v>1100</v>
      </c>
      <c r="I466" s="10">
        <v>61600</v>
      </c>
      <c r="J466">
        <v>5</v>
      </c>
      <c r="K466" s="10">
        <v>5500</v>
      </c>
      <c r="L466">
        <v>51</v>
      </c>
      <c r="M466" s="10">
        <v>56100</v>
      </c>
      <c r="N466" t="s">
        <v>62</v>
      </c>
    </row>
    <row r="467" spans="1:14" x14ac:dyDescent="0.35">
      <c r="A467" t="s">
        <v>224</v>
      </c>
      <c r="B467" s="9">
        <v>45643</v>
      </c>
      <c r="C467" t="s">
        <v>25</v>
      </c>
      <c r="D467" t="s">
        <v>41</v>
      </c>
      <c r="E467" t="s">
        <v>20</v>
      </c>
      <c r="F467" t="s">
        <v>755</v>
      </c>
      <c r="G467">
        <v>63</v>
      </c>
      <c r="H467" s="10">
        <v>3500</v>
      </c>
      <c r="I467" s="10">
        <v>220500</v>
      </c>
      <c r="J467">
        <v>5</v>
      </c>
      <c r="K467" s="10">
        <v>17500</v>
      </c>
      <c r="L467">
        <v>58</v>
      </c>
      <c r="M467" s="10">
        <v>203000</v>
      </c>
      <c r="N467" t="s">
        <v>122</v>
      </c>
    </row>
    <row r="468" spans="1:14" x14ac:dyDescent="0.35">
      <c r="A468" t="s">
        <v>711</v>
      </c>
      <c r="B468" s="9">
        <v>45643</v>
      </c>
      <c r="C468" t="s">
        <v>18</v>
      </c>
      <c r="D468" t="s">
        <v>79</v>
      </c>
      <c r="E468" t="s">
        <v>14</v>
      </c>
      <c r="F468" t="s">
        <v>754</v>
      </c>
      <c r="G468">
        <v>53</v>
      </c>
      <c r="H468" s="10">
        <v>700</v>
      </c>
      <c r="I468" s="10">
        <v>37100</v>
      </c>
      <c r="J468">
        <v>0</v>
      </c>
      <c r="K468" s="10">
        <v>0</v>
      </c>
      <c r="L468">
        <v>53</v>
      </c>
      <c r="M468" s="10">
        <v>37100</v>
      </c>
      <c r="N468" t="s">
        <v>62</v>
      </c>
    </row>
    <row r="469" spans="1:14" x14ac:dyDescent="0.35">
      <c r="A469" t="s">
        <v>512</v>
      </c>
      <c r="B469" s="9">
        <v>45644</v>
      </c>
      <c r="C469" t="s">
        <v>25</v>
      </c>
      <c r="D469" t="s">
        <v>19</v>
      </c>
      <c r="E469" t="s">
        <v>14</v>
      </c>
      <c r="F469" t="s">
        <v>70</v>
      </c>
      <c r="G469">
        <v>57</v>
      </c>
      <c r="H469" s="10">
        <v>1800</v>
      </c>
      <c r="I469" s="10">
        <v>102600</v>
      </c>
      <c r="J469">
        <v>2</v>
      </c>
      <c r="K469" s="10">
        <v>3600</v>
      </c>
      <c r="L469">
        <v>55</v>
      </c>
      <c r="M469" s="10">
        <v>99000</v>
      </c>
      <c r="N469" t="s">
        <v>122</v>
      </c>
    </row>
    <row r="470" spans="1:14" x14ac:dyDescent="0.35">
      <c r="A470" t="s">
        <v>419</v>
      </c>
      <c r="B470" s="9">
        <v>45645</v>
      </c>
      <c r="C470" t="s">
        <v>18</v>
      </c>
      <c r="D470" t="s">
        <v>13</v>
      </c>
      <c r="E470" t="s">
        <v>20</v>
      </c>
      <c r="F470" t="s">
        <v>153</v>
      </c>
      <c r="G470">
        <v>135</v>
      </c>
      <c r="H470" s="10">
        <v>2800</v>
      </c>
      <c r="I470" s="10">
        <v>378000</v>
      </c>
      <c r="J470">
        <v>12</v>
      </c>
      <c r="K470" s="10">
        <v>33600</v>
      </c>
      <c r="L470">
        <v>123</v>
      </c>
      <c r="M470" s="10">
        <v>344400</v>
      </c>
      <c r="N470" t="s">
        <v>62</v>
      </c>
    </row>
    <row r="471" spans="1:14" x14ac:dyDescent="0.35">
      <c r="A471" t="s">
        <v>360</v>
      </c>
      <c r="B471" s="9">
        <v>45647</v>
      </c>
      <c r="C471" t="s">
        <v>44</v>
      </c>
      <c r="D471" t="s">
        <v>54</v>
      </c>
      <c r="E471" t="s">
        <v>31</v>
      </c>
      <c r="F471" t="s">
        <v>121</v>
      </c>
      <c r="G471">
        <v>55</v>
      </c>
      <c r="H471" s="10">
        <v>200</v>
      </c>
      <c r="I471" s="10">
        <v>11000</v>
      </c>
      <c r="J471">
        <v>0</v>
      </c>
      <c r="K471" s="10">
        <v>0</v>
      </c>
      <c r="L471">
        <v>55</v>
      </c>
      <c r="M471" s="10">
        <v>11000</v>
      </c>
      <c r="N471" t="s">
        <v>122</v>
      </c>
    </row>
    <row r="472" spans="1:14" x14ac:dyDescent="0.35">
      <c r="A472" t="s">
        <v>395</v>
      </c>
      <c r="B472" s="9">
        <v>45648</v>
      </c>
      <c r="C472" t="s">
        <v>51</v>
      </c>
      <c r="D472" t="s">
        <v>79</v>
      </c>
      <c r="E472" t="s">
        <v>14</v>
      </c>
      <c r="F472" t="s">
        <v>99</v>
      </c>
      <c r="G472">
        <v>150</v>
      </c>
      <c r="H472" s="10">
        <v>1500</v>
      </c>
      <c r="I472" s="10">
        <v>225000</v>
      </c>
      <c r="J472">
        <v>0</v>
      </c>
      <c r="K472" s="10">
        <v>0</v>
      </c>
      <c r="L472">
        <v>150</v>
      </c>
      <c r="M472" s="10">
        <v>225000</v>
      </c>
      <c r="N472" t="s">
        <v>122</v>
      </c>
    </row>
    <row r="473" spans="1:14" x14ac:dyDescent="0.35">
      <c r="A473" t="s">
        <v>455</v>
      </c>
      <c r="B473" s="9">
        <v>45649</v>
      </c>
      <c r="C473" t="s">
        <v>44</v>
      </c>
      <c r="D473" t="s">
        <v>41</v>
      </c>
      <c r="E473" t="s">
        <v>31</v>
      </c>
      <c r="F473" t="s">
        <v>81</v>
      </c>
      <c r="G473">
        <v>84</v>
      </c>
      <c r="H473" s="10">
        <v>650</v>
      </c>
      <c r="I473" s="10">
        <v>54600</v>
      </c>
      <c r="J473">
        <v>1</v>
      </c>
      <c r="K473" s="10">
        <v>650</v>
      </c>
      <c r="L473">
        <v>83</v>
      </c>
      <c r="M473" s="10">
        <v>53950</v>
      </c>
      <c r="N473" t="s">
        <v>122</v>
      </c>
    </row>
    <row r="474" spans="1:14" x14ac:dyDescent="0.35">
      <c r="A474" t="s">
        <v>572</v>
      </c>
      <c r="B474" s="9">
        <v>45649</v>
      </c>
      <c r="C474" t="s">
        <v>51</v>
      </c>
      <c r="D474" t="s">
        <v>41</v>
      </c>
      <c r="E474" t="s">
        <v>14</v>
      </c>
      <c r="F474" t="s">
        <v>72</v>
      </c>
      <c r="G474">
        <v>196</v>
      </c>
      <c r="H474" s="10">
        <v>400</v>
      </c>
      <c r="I474" s="10">
        <v>78400</v>
      </c>
      <c r="J474">
        <v>9</v>
      </c>
      <c r="K474" s="10">
        <v>3600</v>
      </c>
      <c r="L474">
        <v>187</v>
      </c>
      <c r="M474" s="10">
        <v>74800</v>
      </c>
      <c r="N474" t="s">
        <v>62</v>
      </c>
    </row>
    <row r="475" spans="1:14" x14ac:dyDescent="0.35">
      <c r="A475" t="s">
        <v>158</v>
      </c>
      <c r="B475" s="9">
        <v>45650</v>
      </c>
      <c r="C475" t="s">
        <v>96</v>
      </c>
      <c r="D475" t="s">
        <v>35</v>
      </c>
      <c r="E475" t="s">
        <v>31</v>
      </c>
      <c r="F475" t="s">
        <v>159</v>
      </c>
      <c r="G475">
        <v>160</v>
      </c>
      <c r="H475" s="10">
        <v>1800</v>
      </c>
      <c r="I475" s="10">
        <v>288000</v>
      </c>
      <c r="J475">
        <v>7</v>
      </c>
      <c r="K475" s="10">
        <v>12600</v>
      </c>
      <c r="L475">
        <v>153</v>
      </c>
      <c r="M475" s="10">
        <v>275400</v>
      </c>
      <c r="N475" t="s">
        <v>122</v>
      </c>
    </row>
    <row r="476" spans="1:14" x14ac:dyDescent="0.35">
      <c r="A476" t="s">
        <v>387</v>
      </c>
      <c r="B476" s="9">
        <v>45651</v>
      </c>
      <c r="C476" t="s">
        <v>25</v>
      </c>
      <c r="D476" t="s">
        <v>19</v>
      </c>
      <c r="E476" t="s">
        <v>20</v>
      </c>
      <c r="F476" t="s">
        <v>97</v>
      </c>
      <c r="G476">
        <v>149</v>
      </c>
      <c r="H476" s="10">
        <v>500</v>
      </c>
      <c r="I476" s="10">
        <v>74500</v>
      </c>
      <c r="J476">
        <v>3</v>
      </c>
      <c r="K476" s="10">
        <v>1500</v>
      </c>
      <c r="L476">
        <v>146</v>
      </c>
      <c r="M476" s="10">
        <v>73000</v>
      </c>
      <c r="N476" t="s">
        <v>62</v>
      </c>
    </row>
    <row r="477" spans="1:14" x14ac:dyDescent="0.35">
      <c r="A477" t="s">
        <v>177</v>
      </c>
      <c r="B477" s="9">
        <v>45652</v>
      </c>
      <c r="C477" t="s">
        <v>44</v>
      </c>
      <c r="D477" t="s">
        <v>41</v>
      </c>
      <c r="E477" t="s">
        <v>31</v>
      </c>
      <c r="F477" t="s">
        <v>81</v>
      </c>
      <c r="G477">
        <v>98</v>
      </c>
      <c r="H477" s="10">
        <v>650</v>
      </c>
      <c r="I477" s="10">
        <v>63700</v>
      </c>
      <c r="J477">
        <v>8</v>
      </c>
      <c r="K477" s="10">
        <v>5200</v>
      </c>
      <c r="L477">
        <v>90</v>
      </c>
      <c r="M477" s="10">
        <v>58500</v>
      </c>
      <c r="N477" t="s">
        <v>62</v>
      </c>
    </row>
    <row r="478" spans="1:14" x14ac:dyDescent="0.35">
      <c r="A478" t="s">
        <v>193</v>
      </c>
      <c r="B478" s="9">
        <v>45652</v>
      </c>
      <c r="C478" t="s">
        <v>44</v>
      </c>
      <c r="D478" t="s">
        <v>35</v>
      </c>
      <c r="E478" t="s">
        <v>14</v>
      </c>
      <c r="F478" t="s">
        <v>15</v>
      </c>
      <c r="G478">
        <v>61</v>
      </c>
      <c r="H478" s="10">
        <v>1200</v>
      </c>
      <c r="I478" s="10">
        <v>73200</v>
      </c>
      <c r="J478">
        <v>4</v>
      </c>
      <c r="K478" s="10">
        <v>4800</v>
      </c>
      <c r="L478">
        <v>57</v>
      </c>
      <c r="M478" s="10">
        <v>68400</v>
      </c>
      <c r="N478" t="s">
        <v>62</v>
      </c>
    </row>
    <row r="479" spans="1:14" x14ac:dyDescent="0.35">
      <c r="A479" t="s">
        <v>561</v>
      </c>
      <c r="B479" s="9">
        <v>45653</v>
      </c>
      <c r="C479" t="s">
        <v>74</v>
      </c>
      <c r="D479" t="s">
        <v>65</v>
      </c>
      <c r="E479" t="s">
        <v>20</v>
      </c>
      <c r="F479" t="s">
        <v>133</v>
      </c>
      <c r="G479">
        <v>119</v>
      </c>
      <c r="H479" s="10">
        <v>1200</v>
      </c>
      <c r="I479" s="10">
        <v>142800</v>
      </c>
      <c r="J479">
        <v>5</v>
      </c>
      <c r="K479" s="10">
        <v>6000</v>
      </c>
      <c r="L479">
        <v>114</v>
      </c>
      <c r="M479" s="10">
        <v>136800</v>
      </c>
      <c r="N479" t="s">
        <v>122</v>
      </c>
    </row>
    <row r="480" spans="1:14" x14ac:dyDescent="0.35">
      <c r="A480" t="s">
        <v>546</v>
      </c>
      <c r="B480" s="9">
        <v>45654</v>
      </c>
      <c r="C480" t="s">
        <v>18</v>
      </c>
      <c r="D480" t="s">
        <v>79</v>
      </c>
      <c r="E480" t="s">
        <v>31</v>
      </c>
      <c r="F480" t="s">
        <v>55</v>
      </c>
      <c r="G480">
        <v>58</v>
      </c>
      <c r="H480" s="10">
        <v>1100</v>
      </c>
      <c r="I480" s="10">
        <v>63800</v>
      </c>
      <c r="J480">
        <v>0</v>
      </c>
      <c r="K480" s="10">
        <v>0</v>
      </c>
      <c r="L480">
        <v>58</v>
      </c>
      <c r="M480" s="10">
        <v>63800</v>
      </c>
      <c r="N480" t="s">
        <v>33</v>
      </c>
    </row>
    <row r="481" spans="1:14" x14ac:dyDescent="0.35">
      <c r="A481" t="s">
        <v>632</v>
      </c>
      <c r="B481" s="9">
        <v>45654</v>
      </c>
      <c r="C481" t="s">
        <v>74</v>
      </c>
      <c r="D481" t="s">
        <v>93</v>
      </c>
      <c r="E481" t="s">
        <v>14</v>
      </c>
      <c r="F481" t="s">
        <v>99</v>
      </c>
      <c r="G481">
        <v>20</v>
      </c>
      <c r="H481" s="10">
        <v>1500</v>
      </c>
      <c r="I481" s="10">
        <v>30000</v>
      </c>
      <c r="J481">
        <v>1</v>
      </c>
      <c r="K481" s="10">
        <v>1500</v>
      </c>
      <c r="L481">
        <v>19</v>
      </c>
      <c r="M481" s="10">
        <v>28500</v>
      </c>
      <c r="N481" t="s">
        <v>753</v>
      </c>
    </row>
    <row r="482" spans="1:14" x14ac:dyDescent="0.35">
      <c r="I482" s="10"/>
      <c r="K482" s="10"/>
      <c r="L482" s="10"/>
    </row>
    <row r="483" spans="1:14" x14ac:dyDescent="0.35">
      <c r="I483" s="10"/>
      <c r="K483" s="10"/>
      <c r="L483" s="10"/>
    </row>
    <row r="484" spans="1:14" x14ac:dyDescent="0.35">
      <c r="I484" s="10"/>
      <c r="K484" s="10"/>
      <c r="L484" s="10"/>
    </row>
    <row r="485" spans="1:14" x14ac:dyDescent="0.35">
      <c r="I485" s="10"/>
      <c r="K485" s="10"/>
      <c r="L485" s="10"/>
    </row>
    <row r="486" spans="1:14" x14ac:dyDescent="0.35">
      <c r="I486" s="10"/>
      <c r="K486" s="10"/>
      <c r="L486" s="10"/>
    </row>
    <row r="487" spans="1:14" x14ac:dyDescent="0.35">
      <c r="I487" s="10"/>
      <c r="K487" s="10"/>
      <c r="L487" s="10"/>
    </row>
    <row r="488" spans="1:14" x14ac:dyDescent="0.35">
      <c r="I488" s="10"/>
      <c r="K488" s="10"/>
      <c r="L488" s="10"/>
    </row>
    <row r="489" spans="1:14" x14ac:dyDescent="0.35">
      <c r="I489" s="10"/>
      <c r="K489" s="10"/>
      <c r="L489" s="10"/>
    </row>
    <row r="490" spans="1:14" x14ac:dyDescent="0.35">
      <c r="I490" s="10"/>
      <c r="K490" s="10"/>
      <c r="L490" s="10"/>
    </row>
    <row r="491" spans="1:14" x14ac:dyDescent="0.35">
      <c r="I491" s="10"/>
      <c r="K491" s="10"/>
      <c r="L491" s="10"/>
    </row>
    <row r="492" spans="1:14" x14ac:dyDescent="0.35">
      <c r="I492" s="10"/>
      <c r="K492" s="10"/>
      <c r="L492" s="10"/>
    </row>
    <row r="493" spans="1:14" x14ac:dyDescent="0.35">
      <c r="I493" s="10"/>
      <c r="K493" s="10"/>
      <c r="L493" s="10"/>
    </row>
    <row r="494" spans="1:14" x14ac:dyDescent="0.35">
      <c r="I494" s="10"/>
      <c r="K494" s="10"/>
      <c r="L494" s="10"/>
    </row>
    <row r="495" spans="1:14" x14ac:dyDescent="0.35">
      <c r="I495" s="10"/>
      <c r="K495" s="10"/>
      <c r="L495" s="10"/>
    </row>
    <row r="496" spans="1:14" x14ac:dyDescent="0.35">
      <c r="I496" s="10"/>
      <c r="K496" s="10"/>
      <c r="L496" s="10"/>
    </row>
    <row r="497" spans="9:12" x14ac:dyDescent="0.35">
      <c r="I497" s="10"/>
      <c r="K497" s="10"/>
      <c r="L497" s="10"/>
    </row>
  </sheetData>
  <sortState xmlns:xlrd2="http://schemas.microsoft.com/office/spreadsheetml/2017/richdata2" ref="A2:N496">
    <sortCondition ref="B2:B496"/>
  </sortState>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0E0D-03C7-42C6-8BD9-1B8D60238CD6}">
  <dimension ref="A1:F11"/>
  <sheetViews>
    <sheetView topLeftCell="C1" workbookViewId="0">
      <selection activeCell="E15" sqref="E15"/>
    </sheetView>
  </sheetViews>
  <sheetFormatPr defaultRowHeight="14.5" x14ac:dyDescent="0.35"/>
  <cols>
    <col min="1" max="1" width="27.36328125" bestFit="1" customWidth="1"/>
    <col min="2" max="2" width="33.7265625" bestFit="1" customWidth="1"/>
    <col min="3" max="3" width="36.54296875" bestFit="1" customWidth="1"/>
    <col min="4" max="4" width="19.26953125" bestFit="1" customWidth="1"/>
    <col min="5" max="5" width="32.6328125" bestFit="1" customWidth="1"/>
    <col min="6" max="6" width="47.6328125" bestFit="1" customWidth="1"/>
  </cols>
  <sheetData>
    <row r="1" spans="1:6" ht="15.5" x14ac:dyDescent="0.35">
      <c r="A1" s="11" t="s">
        <v>759</v>
      </c>
      <c r="B1" s="11" t="s">
        <v>760</v>
      </c>
      <c r="C1" s="11" t="s">
        <v>761</v>
      </c>
      <c r="D1" s="11" t="s">
        <v>762</v>
      </c>
      <c r="E1" s="11" t="s">
        <v>763</v>
      </c>
      <c r="F1" s="11" t="s">
        <v>764</v>
      </c>
    </row>
    <row r="2" spans="1:6" x14ac:dyDescent="0.35">
      <c r="A2" t="s">
        <v>2</v>
      </c>
      <c r="B2" t="s">
        <v>765</v>
      </c>
      <c r="C2" t="s">
        <v>807</v>
      </c>
      <c r="D2" t="s">
        <v>766</v>
      </c>
      <c r="E2" t="s">
        <v>767</v>
      </c>
      <c r="F2" t="s">
        <v>812</v>
      </c>
    </row>
    <row r="3" spans="1:6" x14ac:dyDescent="0.35">
      <c r="A3" t="s">
        <v>1</v>
      </c>
      <c r="B3" t="s">
        <v>765</v>
      </c>
      <c r="C3" t="s">
        <v>768</v>
      </c>
      <c r="D3" t="s">
        <v>769</v>
      </c>
      <c r="E3" t="s">
        <v>770</v>
      </c>
      <c r="F3" t="s">
        <v>813</v>
      </c>
    </row>
    <row r="4" spans="1:6" x14ac:dyDescent="0.35">
      <c r="A4" t="s">
        <v>771</v>
      </c>
      <c r="B4" t="s">
        <v>772</v>
      </c>
      <c r="C4" t="s">
        <v>773</v>
      </c>
      <c r="D4" t="s">
        <v>774</v>
      </c>
      <c r="E4" t="s">
        <v>775</v>
      </c>
      <c r="F4" t="s">
        <v>776</v>
      </c>
    </row>
    <row r="5" spans="1:6" x14ac:dyDescent="0.35">
      <c r="A5" t="s">
        <v>777</v>
      </c>
      <c r="B5" t="s">
        <v>808</v>
      </c>
      <c r="C5" t="s">
        <v>778</v>
      </c>
      <c r="D5" t="s">
        <v>779</v>
      </c>
      <c r="E5" t="s">
        <v>780</v>
      </c>
      <c r="F5" t="s">
        <v>781</v>
      </c>
    </row>
    <row r="6" spans="1:6" x14ac:dyDescent="0.35">
      <c r="A6" t="s">
        <v>782</v>
      </c>
      <c r="B6" t="s">
        <v>783</v>
      </c>
      <c r="C6">
        <v>-3</v>
      </c>
      <c r="D6" t="s">
        <v>784</v>
      </c>
      <c r="E6" t="s">
        <v>785</v>
      </c>
      <c r="F6" t="s">
        <v>814</v>
      </c>
    </row>
    <row r="7" spans="1:6" x14ac:dyDescent="0.35">
      <c r="A7" t="s">
        <v>786</v>
      </c>
      <c r="B7" t="s">
        <v>787</v>
      </c>
      <c r="C7" t="s">
        <v>788</v>
      </c>
      <c r="D7">
        <v>15</v>
      </c>
      <c r="E7" t="s">
        <v>789</v>
      </c>
      <c r="F7" t="s">
        <v>790</v>
      </c>
    </row>
    <row r="8" spans="1:6" x14ac:dyDescent="0.35">
      <c r="A8" t="s">
        <v>791</v>
      </c>
      <c r="B8" t="s">
        <v>792</v>
      </c>
      <c r="C8" t="s">
        <v>107</v>
      </c>
      <c r="D8" t="s">
        <v>816</v>
      </c>
      <c r="E8" t="s">
        <v>793</v>
      </c>
      <c r="F8" t="s">
        <v>815</v>
      </c>
    </row>
    <row r="9" spans="1:6" x14ac:dyDescent="0.35">
      <c r="A9" t="s">
        <v>810</v>
      </c>
      <c r="B9" t="s">
        <v>794</v>
      </c>
      <c r="C9" t="s">
        <v>773</v>
      </c>
      <c r="D9" t="s">
        <v>816</v>
      </c>
      <c r="E9" t="s">
        <v>795</v>
      </c>
      <c r="F9" t="s">
        <v>811</v>
      </c>
    </row>
    <row r="10" spans="1:6" x14ac:dyDescent="0.35">
      <c r="A10" t="s">
        <v>796</v>
      </c>
      <c r="B10" t="s">
        <v>797</v>
      </c>
      <c r="C10" t="s">
        <v>809</v>
      </c>
      <c r="D10" t="s">
        <v>798</v>
      </c>
      <c r="E10" t="s">
        <v>799</v>
      </c>
      <c r="F10" t="s">
        <v>800</v>
      </c>
    </row>
    <row r="11" spans="1:6" x14ac:dyDescent="0.35">
      <c r="A11" t="s">
        <v>801</v>
      </c>
      <c r="B11" t="s">
        <v>802</v>
      </c>
      <c r="C11" t="s">
        <v>803</v>
      </c>
      <c r="D11" t="s">
        <v>804</v>
      </c>
      <c r="E11" t="s">
        <v>805</v>
      </c>
      <c r="F11"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Sales_Data_2024</vt:lpstr>
      <vt:lpstr>Data_Dictionary</vt:lpstr>
      <vt:lpstr>Pivot Table</vt:lpstr>
      <vt:lpstr>Pivot Chart</vt:lpstr>
      <vt:lpstr>DASHBOARD</vt:lpstr>
      <vt:lpstr>Dashboard 2</vt:lpstr>
      <vt:lpstr>Clean</vt:lpstr>
      <vt:lpstr>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2026-04-02T11:41:43Z</dcterms:created>
  <dcterms:modified xsi:type="dcterms:W3CDTF">2026-04-27T00:16:27Z</dcterms:modified>
</cp:coreProperties>
</file>